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mreuter\University of Michigan Dropbox\Margaret Reuter\Maggie_research_updates\M2D2_paper\drafts\supplemental files_241031\"/>
    </mc:Choice>
  </mc:AlternateContent>
  <xr:revisionPtr revIDLastSave="0" documentId="13_ncr:1_{A55BEBF7-8AE5-40E0-B953-09158E083AAE}" xr6:coauthVersionLast="47" xr6:coauthVersionMax="47" xr10:uidLastSave="{00000000-0000-0000-0000-000000000000}"/>
  <bookViews>
    <workbookView xWindow="-38520" yWindow="-120" windowWidth="38640" windowHeight="21120" activeTab="3" xr2:uid="{00000000-000D-0000-FFFF-FFFF00000000}"/>
  </bookViews>
  <sheets>
    <sheet name="chemgen" sheetId="1" r:id="rId1"/>
    <sheet name="dock" sheetId="2" r:id="rId2"/>
    <sheet name="ml" sheetId="3" r:id="rId3"/>
    <sheet name="ml (2)" sheetId="12" r:id="rId4"/>
    <sheet name="met" sheetId="4" r:id="rId5"/>
    <sheet name="trans" sheetId="5" r:id="rId6"/>
    <sheet name="Rall" sheetId="6" r:id="rId7"/>
    <sheet name="all sorted " sheetId="8" r:id="rId8"/>
    <sheet name="top 5 each set" sheetId="9" r:id="rId9"/>
    <sheet name="median_pval" sheetId="13" r:id="rId10"/>
    <sheet name="numInteractions per drug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9" i="12" l="1"/>
  <c r="N28" i="12"/>
  <c r="N27" i="12"/>
  <c r="N31" i="2"/>
  <c r="N30" i="2"/>
  <c r="N29" i="2"/>
  <c r="O25" i="1"/>
  <c r="O27" i="1"/>
  <c r="O26" i="1"/>
  <c r="P27" i="1"/>
  <c r="P26" i="1"/>
  <c r="P25" i="1"/>
  <c r="O29" i="12"/>
  <c r="O28" i="12"/>
  <c r="P28" i="12" s="1"/>
  <c r="O27" i="12"/>
  <c r="P27" i="12" s="1"/>
  <c r="P29" i="12"/>
  <c r="P31" i="2"/>
  <c r="O31" i="2"/>
  <c r="O30" i="2"/>
  <c r="P30" i="2" s="1"/>
  <c r="O29" i="2"/>
  <c r="P29" i="2" s="1"/>
  <c r="Q26" i="1"/>
  <c r="Q27" i="1"/>
  <c r="Q25" i="1"/>
  <c r="K18" i="13"/>
  <c r="K19" i="13"/>
  <c r="K20" i="13"/>
  <c r="K17" i="13"/>
  <c r="K11" i="13"/>
  <c r="L13" i="13"/>
  <c r="L11" i="13"/>
  <c r="L12" i="13"/>
  <c r="L10" i="13"/>
  <c r="K12" i="13"/>
  <c r="K13" i="13"/>
  <c r="K10" i="13"/>
  <c r="J11" i="13"/>
  <c r="J12" i="13"/>
  <c r="J13" i="13"/>
  <c r="J10" i="13"/>
  <c r="D3" i="6"/>
  <c r="D4" i="6"/>
  <c r="D5" i="6"/>
  <c r="D6" i="6"/>
  <c r="D2" i="6"/>
</calcChain>
</file>

<file path=xl/sharedStrings.xml><?xml version="1.0" encoding="utf-8"?>
<sst xmlns="http://schemas.openxmlformats.org/spreadsheetml/2006/main" count="1102" uniqueCount="210">
  <si>
    <t>allDrugs_nplus2</t>
  </si>
  <si>
    <t>AMK</t>
  </si>
  <si>
    <t>AMP</t>
  </si>
  <si>
    <t>AZI</t>
  </si>
  <si>
    <t>AZT</t>
  </si>
  <si>
    <t>CEF</t>
  </si>
  <si>
    <t>CHL</t>
  </si>
  <si>
    <t>CIP</t>
  </si>
  <si>
    <t>ERY</t>
  </si>
  <si>
    <t>FOS</t>
  </si>
  <si>
    <t>FUS</t>
  </si>
  <si>
    <t>GEN</t>
  </si>
  <si>
    <t>GLU</t>
  </si>
  <si>
    <t>GLY</t>
  </si>
  <si>
    <t>LEV</t>
  </si>
  <si>
    <t>MEC</t>
  </si>
  <si>
    <t>MIN</t>
  </si>
  <si>
    <t>NAL</t>
  </si>
  <si>
    <t>NIT</t>
  </si>
  <si>
    <t>NVB</t>
  </si>
  <si>
    <t>PRC</t>
  </si>
  <si>
    <t>RIF</t>
  </si>
  <si>
    <t>SPE</t>
  </si>
  <si>
    <t>TET</t>
  </si>
  <si>
    <t>TRC</t>
  </si>
  <si>
    <t>TRI</t>
  </si>
  <si>
    <t>R</t>
  </si>
  <si>
    <t>pva</t>
  </si>
  <si>
    <t>allDrugs_nplus2</t>
  </si>
  <si>
    <t>AMK</t>
  </si>
  <si>
    <t>AMP</t>
  </si>
  <si>
    <t>AZI</t>
  </si>
  <si>
    <t>AZT</t>
  </si>
  <si>
    <t>CEF</t>
  </si>
  <si>
    <t>CHL</t>
  </si>
  <si>
    <t>CIP</t>
  </si>
  <si>
    <t>ERY</t>
  </si>
  <si>
    <t>FOS</t>
  </si>
  <si>
    <t>FUS</t>
  </si>
  <si>
    <t>GEN</t>
  </si>
  <si>
    <t>GLU</t>
  </si>
  <si>
    <t>GLY</t>
  </si>
  <si>
    <t>LEV</t>
  </si>
  <si>
    <t>MEC</t>
  </si>
  <si>
    <t>MIN</t>
  </si>
  <si>
    <t>NAL</t>
  </si>
  <si>
    <t>NIT</t>
  </si>
  <si>
    <t>NVB</t>
  </si>
  <si>
    <t>PMS</t>
  </si>
  <si>
    <t>PRC</t>
  </si>
  <si>
    <t>RIF</t>
  </si>
  <si>
    <t>SPE</t>
  </si>
  <si>
    <t>TET</t>
  </si>
  <si>
    <t>TRC</t>
  </si>
  <si>
    <t>TRI</t>
  </si>
  <si>
    <t>R</t>
  </si>
  <si>
    <t>pva</t>
  </si>
  <si>
    <t>allDrugs_nplus2</t>
  </si>
  <si>
    <t>AMK</t>
  </si>
  <si>
    <t>AMP</t>
  </si>
  <si>
    <t>AZI</t>
  </si>
  <si>
    <t>AZT</t>
  </si>
  <si>
    <t>CEF</t>
  </si>
  <si>
    <t>CHL</t>
  </si>
  <si>
    <t>CIP</t>
  </si>
  <si>
    <t>ERY</t>
  </si>
  <si>
    <t>FUS</t>
  </si>
  <si>
    <t>GEN</t>
  </si>
  <si>
    <t>MIN</t>
  </si>
  <si>
    <t>NAL</t>
  </si>
  <si>
    <t>NIT</t>
  </si>
  <si>
    <t>NVB</t>
  </si>
  <si>
    <t>PRC</t>
  </si>
  <si>
    <t>RIF</t>
  </si>
  <si>
    <t>SPE</t>
  </si>
  <si>
    <t>TET</t>
  </si>
  <si>
    <t>TRC</t>
  </si>
  <si>
    <t>TRI</t>
  </si>
  <si>
    <t>R</t>
  </si>
  <si>
    <t>pva</t>
  </si>
  <si>
    <t>allDrugs_nplus2</t>
  </si>
  <si>
    <t>CHL</t>
  </si>
  <si>
    <t>CIP</t>
  </si>
  <si>
    <t>ERY</t>
  </si>
  <si>
    <t>NAL</t>
  </si>
  <si>
    <t>NVB</t>
  </si>
  <si>
    <t>RIF</t>
  </si>
  <si>
    <t>TET</t>
  </si>
  <si>
    <t>TRC</t>
  </si>
  <si>
    <t>TRI</t>
  </si>
  <si>
    <t>R</t>
  </si>
  <si>
    <t>pva</t>
  </si>
  <si>
    <t>pval</t>
  </si>
  <si>
    <t>Target</t>
  </si>
  <si>
    <t>Static, Cidal, Both</t>
  </si>
  <si>
    <t>Protein synthesis, 30S</t>
  </si>
  <si>
    <t>C-S</t>
  </si>
  <si>
    <t>Cell wall</t>
  </si>
  <si>
    <t>Protein synthesis, 50S</t>
  </si>
  <si>
    <t>S</t>
  </si>
  <si>
    <t>C</t>
  </si>
  <si>
    <t>DNA gyrase</t>
  </si>
  <si>
    <t>Elongation factor—protein synthesis</t>
  </si>
  <si>
    <t>RNA synthesis</t>
  </si>
  <si>
    <t>Fatty acid biosynthesis</t>
  </si>
  <si>
    <t>Folic acid biosynthesis</t>
  </si>
  <si>
    <t>TOB</t>
  </si>
  <si>
    <t>PHL</t>
  </si>
  <si>
    <t>SMX</t>
  </si>
  <si>
    <t>CLA</t>
  </si>
  <si>
    <t>OXA</t>
  </si>
  <si>
    <t>VAN</t>
  </si>
  <si>
    <t>Drug</t>
  </si>
  <si>
    <t>Size (heavy atoms)</t>
  </si>
  <si>
    <t>Protein synthesis, 16S</t>
  </si>
  <si>
    <t>NA</t>
  </si>
  <si>
    <t>Multiple, DNA</t>
  </si>
  <si>
    <t>Oxidative stress</t>
  </si>
  <si>
    <t>Chemogenomics</t>
  </si>
  <si>
    <t>Docking</t>
  </si>
  <si>
    <t>Machine Learning</t>
  </si>
  <si>
    <t>Metabolomics</t>
  </si>
  <si>
    <t>Transcriptomics</t>
  </si>
  <si>
    <t>0.047258408*</t>
  </si>
  <si>
    <t>0.299752748*</t>
  </si>
  <si>
    <t>0.186778125*</t>
  </si>
  <si>
    <t>0.124164432*</t>
  </si>
  <si>
    <t>0.104127941*</t>
  </si>
  <si>
    <t>-0.033954454*</t>
  </si>
  <si>
    <t>0.189686593*</t>
  </si>
  <si>
    <t>0.227260255*</t>
  </si>
  <si>
    <t>0.362131046*</t>
  </si>
  <si>
    <t>-0.120611587*</t>
  </si>
  <si>
    <t>0.049698421*</t>
  </si>
  <si>
    <t>0.110074365*</t>
  </si>
  <si>
    <t>0.183196161*</t>
  </si>
  <si>
    <t>0.32089196*</t>
  </si>
  <si>
    <t>0.161920812*</t>
  </si>
  <si>
    <t>0.247659612*</t>
  </si>
  <si>
    <t>0.201790906*</t>
  </si>
  <si>
    <t>0.265386628*</t>
  </si>
  <si>
    <t>0.245199321*</t>
  </si>
  <si>
    <t>0.334930738*</t>
  </si>
  <si>
    <t>-0.044394146*</t>
  </si>
  <si>
    <t>0.11977386*</t>
  </si>
  <si>
    <t>0.196109545*</t>
  </si>
  <si>
    <t>-0.010646841*</t>
  </si>
  <si>
    <t>-0.067650492*</t>
  </si>
  <si>
    <t>-0.162063584*</t>
  </si>
  <si>
    <t>0.031057158*</t>
  </si>
  <si>
    <t>0.280003367*</t>
  </si>
  <si>
    <t>0.319613922*</t>
  </si>
  <si>
    <t>CHEMOGENOMICS</t>
  </si>
  <si>
    <t>DOCKING</t>
  </si>
  <si>
    <t>MACHINE LEARNING</t>
  </si>
  <si>
    <t>TRANSCRIPTOMICS</t>
  </si>
  <si>
    <t xml:space="preserve">R </t>
  </si>
  <si>
    <t>METABOLOMICS</t>
  </si>
  <si>
    <t>p-value</t>
  </si>
  <si>
    <t>A22</t>
  </si>
  <si>
    <t>AMX</t>
  </si>
  <si>
    <t>BAC</t>
  </si>
  <si>
    <t>BLM</t>
  </si>
  <si>
    <t>BZK</t>
  </si>
  <si>
    <t>CCCP</t>
  </si>
  <si>
    <t>CEC</t>
  </si>
  <si>
    <t>CER</t>
  </si>
  <si>
    <t>CFS</t>
  </si>
  <si>
    <t>CSD</t>
  </si>
  <si>
    <t>DOX</t>
  </si>
  <si>
    <t>DXR</t>
  </si>
  <si>
    <t>EGCG</t>
  </si>
  <si>
    <t>H2O2</t>
  </si>
  <si>
    <t>MEM</t>
  </si>
  <si>
    <t>MXF</t>
  </si>
  <si>
    <t>PAR</t>
  </si>
  <si>
    <t>PMB</t>
  </si>
  <si>
    <t>PUR</t>
  </si>
  <si>
    <t>PYO</t>
  </si>
  <si>
    <t>SMM</t>
  </si>
  <si>
    <t>SPM</t>
  </si>
  <si>
    <t>TPH</t>
  </si>
  <si>
    <t>VPM</t>
  </si>
  <si>
    <t>Cutoff</t>
  </si>
  <si>
    <t>chemogenomics</t>
  </si>
  <si>
    <t>molecular docking</t>
  </si>
  <si>
    <t>machine learning</t>
  </si>
  <si>
    <t>metabolomics</t>
  </si>
  <si>
    <t>trancriptomics</t>
  </si>
  <si>
    <t>z</t>
  </si>
  <si>
    <t>0.257321127*</t>
  </si>
  <si>
    <t>0.184972001*</t>
  </si>
  <si>
    <t>0.196816662*</t>
  </si>
  <si>
    <t>0.26747909*</t>
  </si>
  <si>
    <t>0.340641342*</t>
  </si>
  <si>
    <t>0.073861545*</t>
  </si>
  <si>
    <t>0.096844908*</t>
  </si>
  <si>
    <t>log10 pvalue</t>
  </si>
  <si>
    <t>Protein synthesis</t>
  </si>
  <si>
    <t xml:space="preserve">Nonantibiotic </t>
  </si>
  <si>
    <t>Cell Wall</t>
  </si>
  <si>
    <t>total drugs in category</t>
  </si>
  <si>
    <t>median values</t>
  </si>
  <si>
    <t>ML</t>
  </si>
  <si>
    <t>Dock</t>
  </si>
  <si>
    <t>Chemgen</t>
  </si>
  <si>
    <t>-log10(p-value)</t>
  </si>
  <si>
    <t>DNA</t>
  </si>
  <si>
    <t>geometric mean p-value</t>
  </si>
  <si>
    <t>geometric mean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</si>
</sst>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6" x14ac:knownFonts="1">
    <font>
      <sz val="11"/>
      <name val="Calibri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Calibri"/>
      <family val="2"/>
    </font>
    <font>
      <sz val="10"/>
      <name val="Arial"/>
    </font>
    <font>
      <i/>
      <sz val="10"/>
      <color rgb="FF0000FF"/>
      <name val="Arial"/>
    </font>
  </fonts>
  <fills count="12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11" fontId="0" fillId="0" borderId="0" xfId="0" applyNumberFormat="1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0" borderId="0" xfId="0" applyAlignment="1">
      <alignment wrapText="1"/>
    </xf>
    <xf numFmtId="0" fontId="2" fillId="0" borderId="0" xfId="0" applyFont="1"/>
    <xf numFmtId="0" fontId="3" fillId="0" borderId="0" xfId="0" applyFont="1"/>
    <xf numFmtId="0" fontId="3" fillId="10" borderId="0" xfId="0" applyFont="1" applyFill="1"/>
    <xf numFmtId="0" fontId="3" fillId="5" borderId="0" xfId="0" applyFont="1" applyFill="1"/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5" fillId="0" borderId="0" xfId="0" applyFon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0" fontId="0" fillId="9" borderId="0" xfId="0" applyFill="1" applyAlignment="1">
      <alignment horizontal="center" vertical="center"/>
    </xf>
    <xf numFmtId="164" fontId="0" fillId="0" borderId="0" xfId="0" applyNumberFormat="1"/>
    <xf numFmtId="0" fontId="0" fillId="0" borderId="0" xfId="0" quotePrefix="1"/>
    <xf numFmtId="165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3"/>
  <sheetViews>
    <sheetView workbookViewId="0">
      <selection activeCell="O25" sqref="O25"/>
    </sheetView>
  </sheetViews>
  <sheetFormatPr defaultRowHeight="14.5" x14ac:dyDescent="0.35"/>
  <cols>
    <col min="1" max="1" width="14.453125" customWidth="1"/>
    <col min="2" max="2" width="14.36328125" customWidth="1"/>
    <col min="3" max="3" width="15.7265625" customWidth="1"/>
    <col min="13" max="13" width="15.6328125" bestFit="1" customWidth="1"/>
    <col min="19" max="19" width="20.453125" bestFit="1" customWidth="1"/>
  </cols>
  <sheetData>
    <row r="1" spans="1:20" ht="43.5" x14ac:dyDescent="0.35">
      <c r="A1" t="s">
        <v>0</v>
      </c>
      <c r="B1" t="s">
        <v>26</v>
      </c>
      <c r="C1" t="s">
        <v>27</v>
      </c>
      <c r="E1" s="13" t="s">
        <v>112</v>
      </c>
      <c r="F1" s="13" t="s">
        <v>113</v>
      </c>
      <c r="G1" s="13" t="s">
        <v>93</v>
      </c>
      <c r="H1" s="13" t="s">
        <v>94</v>
      </c>
      <c r="M1" t="s">
        <v>0</v>
      </c>
      <c r="N1" t="s">
        <v>26</v>
      </c>
      <c r="O1" t="s">
        <v>27</v>
      </c>
      <c r="Q1" s="13" t="s">
        <v>112</v>
      </c>
      <c r="R1" s="13" t="s">
        <v>113</v>
      </c>
      <c r="S1" s="13" t="s">
        <v>93</v>
      </c>
      <c r="T1" s="13" t="s">
        <v>94</v>
      </c>
    </row>
    <row r="2" spans="1:20" x14ac:dyDescent="0.35">
      <c r="A2" t="s">
        <v>2</v>
      </c>
      <c r="B2">
        <v>0.68044831180066079</v>
      </c>
      <c r="C2">
        <v>2.8670106365770951E-8</v>
      </c>
      <c r="E2" s="2" t="s">
        <v>2</v>
      </c>
      <c r="F2" s="2">
        <v>24</v>
      </c>
      <c r="G2" s="10" t="s">
        <v>97</v>
      </c>
      <c r="H2" s="7" t="s">
        <v>96</v>
      </c>
      <c r="I2" t="s">
        <v>97</v>
      </c>
      <c r="M2" t="s">
        <v>12</v>
      </c>
      <c r="N2">
        <v>0.83820234612717603</v>
      </c>
      <c r="O2">
        <v>2.5961543251400571E-8</v>
      </c>
      <c r="Q2" s="2" t="s">
        <v>12</v>
      </c>
      <c r="R2" s="2">
        <v>12</v>
      </c>
      <c r="S2" s="15" t="s">
        <v>115</v>
      </c>
    </row>
    <row r="3" spans="1:20" x14ac:dyDescent="0.35">
      <c r="A3" t="s">
        <v>5</v>
      </c>
      <c r="B3">
        <v>0.62312761147577067</v>
      </c>
      <c r="C3">
        <v>1.3933044551201301E-4</v>
      </c>
      <c r="E3" s="2" t="s">
        <v>5</v>
      </c>
      <c r="F3" s="2">
        <v>28</v>
      </c>
      <c r="G3" s="10" t="s">
        <v>97</v>
      </c>
      <c r="H3" s="8" t="s">
        <v>100</v>
      </c>
      <c r="I3" t="s">
        <v>97</v>
      </c>
      <c r="M3" t="s">
        <v>21</v>
      </c>
      <c r="N3">
        <v>0.73166098350209852</v>
      </c>
      <c r="O3">
        <v>1.7607302054954126E-16</v>
      </c>
      <c r="Q3" s="2" t="s">
        <v>21</v>
      </c>
      <c r="R3" s="2">
        <v>59</v>
      </c>
      <c r="S3" s="5" t="s">
        <v>103</v>
      </c>
      <c r="T3" s="8" t="s">
        <v>100</v>
      </c>
    </row>
    <row r="4" spans="1:20" x14ac:dyDescent="0.35">
      <c r="A4" t="s">
        <v>15</v>
      </c>
      <c r="B4">
        <v>0.59194740166577664</v>
      </c>
      <c r="C4">
        <v>1.8260635010725027E-3</v>
      </c>
      <c r="E4" s="2" t="s">
        <v>15</v>
      </c>
      <c r="F4" s="2">
        <v>22</v>
      </c>
      <c r="G4" s="10" t="s">
        <v>97</v>
      </c>
      <c r="H4" s="8" t="s">
        <v>100</v>
      </c>
      <c r="I4" t="s">
        <v>97</v>
      </c>
      <c r="M4" t="s">
        <v>8</v>
      </c>
      <c r="N4">
        <v>0.726799899875189</v>
      </c>
      <c r="O4">
        <v>2.470430697631834E-6</v>
      </c>
      <c r="Q4" s="2" t="s">
        <v>8</v>
      </c>
      <c r="R4" s="2">
        <v>51</v>
      </c>
      <c r="S4" s="9" t="s">
        <v>98</v>
      </c>
      <c r="T4" s="4" t="s">
        <v>99</v>
      </c>
    </row>
    <row r="5" spans="1:20" x14ac:dyDescent="0.35">
      <c r="A5" t="s">
        <v>4</v>
      </c>
      <c r="B5">
        <v>0.30746888101114783</v>
      </c>
      <c r="C5">
        <v>3.162804471310704E-2</v>
      </c>
      <c r="E5" s="2" t="s">
        <v>4</v>
      </c>
      <c r="F5" s="2">
        <v>28</v>
      </c>
      <c r="G5" s="10" t="s">
        <v>97</v>
      </c>
      <c r="H5" s="8" t="s">
        <v>100</v>
      </c>
      <c r="I5" t="s">
        <v>97</v>
      </c>
      <c r="M5" t="s">
        <v>3</v>
      </c>
      <c r="N5">
        <v>0.7026318030150327</v>
      </c>
      <c r="O5">
        <v>1.3760096848716695E-10</v>
      </c>
      <c r="Q5" s="2" t="s">
        <v>3</v>
      </c>
      <c r="R5" s="2">
        <v>52</v>
      </c>
      <c r="S5" s="9" t="s">
        <v>98</v>
      </c>
      <c r="T5" s="4" t="s">
        <v>99</v>
      </c>
    </row>
    <row r="6" spans="1:20" x14ac:dyDescent="0.35">
      <c r="A6" t="s">
        <v>9</v>
      </c>
      <c r="B6" s="11">
        <v>0.32089195984020435</v>
      </c>
      <c r="C6" s="11">
        <v>0.10268059633494286</v>
      </c>
      <c r="E6" s="2" t="s">
        <v>9</v>
      </c>
      <c r="F6" s="2">
        <v>8</v>
      </c>
      <c r="G6" s="10" t="s">
        <v>97</v>
      </c>
      <c r="H6" s="8" t="s">
        <v>100</v>
      </c>
      <c r="I6" t="s">
        <v>97</v>
      </c>
      <c r="M6" t="s">
        <v>2</v>
      </c>
      <c r="N6">
        <v>0.68044831180066079</v>
      </c>
      <c r="O6">
        <v>2.8670106365770951E-8</v>
      </c>
      <c r="Q6" s="2" t="s">
        <v>2</v>
      </c>
      <c r="R6" s="2">
        <v>24</v>
      </c>
      <c r="S6" s="10" t="s">
        <v>97</v>
      </c>
      <c r="T6" s="7" t="s">
        <v>96</v>
      </c>
    </row>
    <row r="7" spans="1:20" x14ac:dyDescent="0.35">
      <c r="A7" t="s">
        <v>7</v>
      </c>
      <c r="B7">
        <v>0.67527045243436989</v>
      </c>
      <c r="C7">
        <v>2.1331203065853198E-8</v>
      </c>
      <c r="E7" s="2" t="s">
        <v>7</v>
      </c>
      <c r="F7" s="2">
        <v>24</v>
      </c>
      <c r="G7" s="11" t="s">
        <v>101</v>
      </c>
      <c r="H7" s="8" t="s">
        <v>100</v>
      </c>
      <c r="I7" t="s">
        <v>101</v>
      </c>
    </row>
    <row r="8" spans="1:20" x14ac:dyDescent="0.35">
      <c r="A8" t="s">
        <v>25</v>
      </c>
      <c r="B8">
        <v>0.54435801021756458</v>
      </c>
      <c r="C8">
        <v>2.8215481128865318E-4</v>
      </c>
      <c r="E8" s="2" t="s">
        <v>25</v>
      </c>
      <c r="F8" s="2">
        <v>21</v>
      </c>
      <c r="G8" s="12" t="s">
        <v>105</v>
      </c>
      <c r="H8" s="4" t="s">
        <v>99</v>
      </c>
      <c r="I8" t="s">
        <v>101</v>
      </c>
    </row>
    <row r="9" spans="1:20" x14ac:dyDescent="0.35">
      <c r="A9" t="s">
        <v>18</v>
      </c>
      <c r="B9">
        <v>0.49518528194008882</v>
      </c>
      <c r="C9">
        <v>3.4590893260970135E-4</v>
      </c>
      <c r="E9" s="2" t="s">
        <v>18</v>
      </c>
      <c r="F9" s="2">
        <v>17</v>
      </c>
      <c r="G9" s="16" t="s">
        <v>116</v>
      </c>
      <c r="H9" s="7" t="s">
        <v>96</v>
      </c>
      <c r="I9" s="15" t="s">
        <v>101</v>
      </c>
    </row>
    <row r="10" spans="1:20" x14ac:dyDescent="0.35">
      <c r="A10" t="s">
        <v>17</v>
      </c>
      <c r="B10">
        <v>0.4763472709678846</v>
      </c>
      <c r="C10">
        <v>5.4049950910434728E-4</v>
      </c>
      <c r="E10" s="2" t="s">
        <v>17</v>
      </c>
      <c r="F10" s="2">
        <v>17</v>
      </c>
      <c r="G10" s="11" t="s">
        <v>101</v>
      </c>
      <c r="H10" s="8" t="s">
        <v>100</v>
      </c>
      <c r="I10" t="s">
        <v>101</v>
      </c>
      <c r="M10" t="s">
        <v>19</v>
      </c>
      <c r="N10" s="11">
        <v>0.26538662836348242</v>
      </c>
      <c r="O10" s="11">
        <v>0.19009372547356662</v>
      </c>
      <c r="Q10" s="14" t="s">
        <v>19</v>
      </c>
      <c r="R10" s="2">
        <v>44</v>
      </c>
      <c r="S10" s="16" t="s">
        <v>101</v>
      </c>
      <c r="T10" s="4" t="s">
        <v>99</v>
      </c>
    </row>
    <row r="11" spans="1:20" x14ac:dyDescent="0.35">
      <c r="A11" t="s">
        <v>14</v>
      </c>
      <c r="B11">
        <v>0.56669338977899542</v>
      </c>
      <c r="C11">
        <v>3.1411959540364942E-3</v>
      </c>
      <c r="E11" s="2" t="s">
        <v>14</v>
      </c>
      <c r="F11" s="2">
        <v>26</v>
      </c>
      <c r="G11" s="11" t="s">
        <v>101</v>
      </c>
      <c r="H11" s="8" t="s">
        <v>100</v>
      </c>
      <c r="I11" t="s">
        <v>101</v>
      </c>
      <c r="M11" t="s">
        <v>20</v>
      </c>
      <c r="N11" s="11">
        <v>0.11977385988788938</v>
      </c>
      <c r="O11" s="11">
        <v>0.56849538833414526</v>
      </c>
      <c r="Q11" s="14" t="s">
        <v>20</v>
      </c>
      <c r="R11" s="2">
        <v>17</v>
      </c>
      <c r="S11" s="15" t="s">
        <v>115</v>
      </c>
    </row>
    <row r="12" spans="1:20" x14ac:dyDescent="0.35">
      <c r="A12" t="s">
        <v>19</v>
      </c>
      <c r="B12" s="11">
        <v>0.26538662836348242</v>
      </c>
      <c r="C12" s="11">
        <v>0.19009372547356662</v>
      </c>
      <c r="E12" s="14" t="s">
        <v>19</v>
      </c>
      <c r="F12" s="2">
        <v>44</v>
      </c>
      <c r="G12" s="16" t="s">
        <v>101</v>
      </c>
      <c r="H12" s="4" t="s">
        <v>99</v>
      </c>
      <c r="I12" s="15" t="s">
        <v>101</v>
      </c>
      <c r="M12" t="s">
        <v>24</v>
      </c>
      <c r="N12" s="11">
        <v>-6.7650491549150149E-2</v>
      </c>
      <c r="O12" s="11">
        <v>0.71295879269940077</v>
      </c>
      <c r="Q12" s="2" t="s">
        <v>24</v>
      </c>
      <c r="R12" s="2">
        <v>17</v>
      </c>
      <c r="S12" s="3" t="s">
        <v>104</v>
      </c>
      <c r="T12" s="4" t="s">
        <v>99</v>
      </c>
    </row>
    <row r="13" spans="1:20" x14ac:dyDescent="0.35">
      <c r="A13" t="s">
        <v>12</v>
      </c>
      <c r="B13">
        <v>0.83820234612717603</v>
      </c>
      <c r="C13">
        <v>2.5961543251400571E-8</v>
      </c>
      <c r="E13" s="2" t="s">
        <v>12</v>
      </c>
      <c r="F13" s="2">
        <v>12</v>
      </c>
      <c r="G13" s="15" t="s">
        <v>115</v>
      </c>
      <c r="I13" s="15" t="s">
        <v>115</v>
      </c>
    </row>
    <row r="14" spans="1:20" x14ac:dyDescent="0.35">
      <c r="A14" t="s">
        <v>13</v>
      </c>
      <c r="B14">
        <v>0.64007029286623152</v>
      </c>
      <c r="C14">
        <v>1.4269638814474504E-7</v>
      </c>
      <c r="E14" s="2" t="s">
        <v>13</v>
      </c>
      <c r="F14" s="2">
        <v>6</v>
      </c>
      <c r="G14" s="15" t="s">
        <v>115</v>
      </c>
      <c r="I14" s="15" t="s">
        <v>115</v>
      </c>
    </row>
    <row r="15" spans="1:20" x14ac:dyDescent="0.35">
      <c r="A15" t="s">
        <v>20</v>
      </c>
      <c r="B15" s="11">
        <v>0.11977385988788938</v>
      </c>
      <c r="C15" s="11">
        <v>0.56849538833414526</v>
      </c>
      <c r="E15" s="14" t="s">
        <v>20</v>
      </c>
      <c r="F15" s="2">
        <v>17</v>
      </c>
      <c r="G15" s="15" t="s">
        <v>115</v>
      </c>
      <c r="I15" s="15" t="s">
        <v>115</v>
      </c>
    </row>
    <row r="16" spans="1:20" x14ac:dyDescent="0.35">
      <c r="A16" t="s">
        <v>24</v>
      </c>
      <c r="B16" s="11">
        <v>-6.7650491549150149E-2</v>
      </c>
      <c r="C16" s="11">
        <v>0.71295879269940077</v>
      </c>
      <c r="E16" s="2" t="s">
        <v>24</v>
      </c>
      <c r="F16" s="2">
        <v>17</v>
      </c>
      <c r="G16" s="3" t="s">
        <v>104</v>
      </c>
      <c r="H16" s="4" t="s">
        <v>99</v>
      </c>
      <c r="I16" t="s">
        <v>115</v>
      </c>
      <c r="N16" t="s">
        <v>202</v>
      </c>
    </row>
    <row r="17" spans="1:17" x14ac:dyDescent="0.35">
      <c r="A17" t="s">
        <v>6</v>
      </c>
      <c r="B17">
        <v>0.65852556016286357</v>
      </c>
      <c r="C17">
        <v>3.1567078880461287E-11</v>
      </c>
      <c r="E17" s="2" t="s">
        <v>6</v>
      </c>
      <c r="F17" s="2">
        <v>20</v>
      </c>
      <c r="G17" s="9" t="s">
        <v>98</v>
      </c>
      <c r="H17" s="4" t="s">
        <v>99</v>
      </c>
      <c r="I17" t="s">
        <v>198</v>
      </c>
      <c r="M17" t="s">
        <v>93</v>
      </c>
      <c r="N17" t="s">
        <v>26</v>
      </c>
      <c r="O17" t="s">
        <v>158</v>
      </c>
      <c r="P17" t="s">
        <v>201</v>
      </c>
    </row>
    <row r="18" spans="1:17" x14ac:dyDescent="0.35">
      <c r="A18" t="s">
        <v>3</v>
      </c>
      <c r="B18">
        <v>0.7026318030150327</v>
      </c>
      <c r="C18">
        <v>1.3760096848716695E-10</v>
      </c>
      <c r="E18" s="2" t="s">
        <v>3</v>
      </c>
      <c r="F18" s="2">
        <v>52</v>
      </c>
      <c r="G18" s="9" t="s">
        <v>98</v>
      </c>
      <c r="H18" s="4" t="s">
        <v>99</v>
      </c>
      <c r="I18" t="s">
        <v>198</v>
      </c>
      <c r="M18" t="s">
        <v>200</v>
      </c>
      <c r="N18">
        <v>0.59194740166577664</v>
      </c>
      <c r="O18" s="1">
        <v>1.8260635010725027E-3</v>
      </c>
      <c r="P18">
        <v>5</v>
      </c>
    </row>
    <row r="19" spans="1:17" x14ac:dyDescent="0.35">
      <c r="A19" t="s">
        <v>23</v>
      </c>
      <c r="B19">
        <v>0.64724297823684873</v>
      </c>
      <c r="C19">
        <v>2.1583727437680659E-7</v>
      </c>
      <c r="E19" s="2" t="s">
        <v>23</v>
      </c>
      <c r="F19" s="2">
        <v>32</v>
      </c>
      <c r="G19" s="6" t="s">
        <v>95</v>
      </c>
      <c r="H19" s="4" t="s">
        <v>99</v>
      </c>
      <c r="I19" t="s">
        <v>198</v>
      </c>
      <c r="M19" t="s">
        <v>101</v>
      </c>
      <c r="N19">
        <v>0.49518528194008882</v>
      </c>
      <c r="O19" s="1">
        <v>3.4590893260970135E-4</v>
      </c>
      <c r="P19">
        <v>6</v>
      </c>
    </row>
    <row r="20" spans="1:17" x14ac:dyDescent="0.35">
      <c r="A20" t="s">
        <v>8</v>
      </c>
      <c r="B20">
        <v>0.726799899875189</v>
      </c>
      <c r="C20">
        <v>2.470430697631834E-6</v>
      </c>
      <c r="E20" s="2" t="s">
        <v>8</v>
      </c>
      <c r="F20" s="2">
        <v>51</v>
      </c>
      <c r="G20" s="9" t="s">
        <v>98</v>
      </c>
      <c r="H20" s="4" t="s">
        <v>99</v>
      </c>
      <c r="I20" t="s">
        <v>198</v>
      </c>
      <c r="M20" t="s">
        <v>198</v>
      </c>
      <c r="N20">
        <v>0.5881984194170744</v>
      </c>
      <c r="O20" s="1">
        <v>2.9083162823859634E-6</v>
      </c>
      <c r="P20">
        <v>9</v>
      </c>
    </row>
    <row r="21" spans="1:17" x14ac:dyDescent="0.35">
      <c r="A21" t="s">
        <v>22</v>
      </c>
      <c r="B21">
        <v>0.5881984194170744</v>
      </c>
      <c r="C21">
        <v>2.9083162823859634E-6</v>
      </c>
      <c r="E21" s="2" t="s">
        <v>22</v>
      </c>
      <c r="F21" s="2">
        <v>17</v>
      </c>
      <c r="G21" s="6" t="s">
        <v>95</v>
      </c>
      <c r="H21" s="4" t="s">
        <v>99</v>
      </c>
      <c r="I21" t="s">
        <v>198</v>
      </c>
      <c r="O21" s="1"/>
    </row>
    <row r="22" spans="1:17" x14ac:dyDescent="0.35">
      <c r="A22" t="s">
        <v>10</v>
      </c>
      <c r="B22">
        <v>0.60337574828798379</v>
      </c>
      <c r="C22">
        <v>4.1607855911195114E-4</v>
      </c>
      <c r="E22" s="2" t="s">
        <v>10</v>
      </c>
      <c r="F22" s="2">
        <v>37</v>
      </c>
      <c r="G22" s="9" t="s">
        <v>102</v>
      </c>
      <c r="H22" s="4" t="s">
        <v>99</v>
      </c>
      <c r="I22" t="s">
        <v>198</v>
      </c>
    </row>
    <row r="23" spans="1:17" x14ac:dyDescent="0.35">
      <c r="A23" t="s">
        <v>16</v>
      </c>
      <c r="B23">
        <v>0.64025064889079897</v>
      </c>
      <c r="C23">
        <v>4.2691169643679856E-4</v>
      </c>
      <c r="E23" s="2" t="s">
        <v>16</v>
      </c>
      <c r="F23" s="2">
        <v>33</v>
      </c>
      <c r="G23" s="17" t="s">
        <v>114</v>
      </c>
      <c r="H23" s="4" t="s">
        <v>99</v>
      </c>
      <c r="I23" t="s">
        <v>198</v>
      </c>
    </row>
    <row r="24" spans="1:17" x14ac:dyDescent="0.35">
      <c r="A24" t="s">
        <v>11</v>
      </c>
      <c r="B24">
        <v>0.60311909929764429</v>
      </c>
      <c r="C24">
        <v>1.1085716488583165E-3</v>
      </c>
      <c r="E24" s="2" t="s">
        <v>11</v>
      </c>
      <c r="F24" s="2">
        <v>33</v>
      </c>
      <c r="G24" s="6" t="s">
        <v>95</v>
      </c>
      <c r="H24" s="7" t="s">
        <v>96</v>
      </c>
      <c r="I24" t="s">
        <v>198</v>
      </c>
      <c r="O24" t="s">
        <v>209</v>
      </c>
      <c r="P24" t="s">
        <v>208</v>
      </c>
    </row>
    <row r="25" spans="1:17" x14ac:dyDescent="0.35">
      <c r="A25" t="s">
        <v>1</v>
      </c>
      <c r="B25">
        <v>0.37792235951456632</v>
      </c>
      <c r="C25">
        <v>1.4844244120005757E-2</v>
      </c>
      <c r="E25" s="2" t="s">
        <v>1</v>
      </c>
      <c r="F25" s="2">
        <v>40</v>
      </c>
      <c r="G25" s="6" t="s">
        <v>95</v>
      </c>
      <c r="H25" s="7" t="s">
        <v>96</v>
      </c>
      <c r="I25" t="s">
        <v>198</v>
      </c>
      <c r="O25">
        <f>(B2*B3*B4*B5*B6)^(1/5)</f>
        <v>0.47726880773758601</v>
      </c>
      <c r="P25">
        <f>(C2*C3*C4*C5*C6)^(1/5)</f>
        <v>4.7305363767304184E-4</v>
      </c>
      <c r="Q25" s="30">
        <f>-LOG10(P25)</f>
        <v>3.3250896135439301</v>
      </c>
    </row>
    <row r="26" spans="1:17" x14ac:dyDescent="0.35">
      <c r="A26" t="s">
        <v>21</v>
      </c>
      <c r="B26">
        <v>0.73166098350209852</v>
      </c>
      <c r="C26">
        <v>1.7607302054954126E-16</v>
      </c>
      <c r="E26" s="2" t="s">
        <v>21</v>
      </c>
      <c r="F26" s="2">
        <v>59</v>
      </c>
      <c r="G26" s="5" t="s">
        <v>103</v>
      </c>
      <c r="H26" s="8" t="s">
        <v>100</v>
      </c>
      <c r="I26" t="s">
        <v>103</v>
      </c>
      <c r="O26">
        <f>(B7*B8*B9*B10*B11*B12*B26)^(1/7)</f>
        <v>0.5144819256183315</v>
      </c>
      <c r="P26">
        <f>(C7*C8*C9*C10*C11*C12*C26)^(1/7)</f>
        <v>5.3053800810185908E-6</v>
      </c>
      <c r="Q26" s="30">
        <f t="shared" ref="O26:Q27" si="0">-LOG10(P26)</f>
        <v>5.2752834974975791</v>
      </c>
    </row>
    <row r="27" spans="1:17" x14ac:dyDescent="0.35">
      <c r="O27">
        <f>(B17*B18*B19*B20*B21*B22*B23*B24*B25)^(1/9)</f>
        <v>0.60752075040232256</v>
      </c>
      <c r="P27">
        <f>(C17*C18*C19*C20*C21*C22*C23*C24*C25)^(1/9)</f>
        <v>3.0001079145588507E-6</v>
      </c>
      <c r="Q27" s="30">
        <f t="shared" si="0"/>
        <v>5.5228631233288334</v>
      </c>
    </row>
    <row r="34" spans="5:6" x14ac:dyDescent="0.35">
      <c r="E34" s="2"/>
      <c r="F34" s="2"/>
    </row>
    <row r="35" spans="5:6" x14ac:dyDescent="0.35">
      <c r="E35" s="2"/>
      <c r="F35" s="2"/>
    </row>
    <row r="37" spans="5:6" x14ac:dyDescent="0.35">
      <c r="E37" s="2"/>
      <c r="F37" s="2"/>
    </row>
    <row r="40" spans="5:6" x14ac:dyDescent="0.35">
      <c r="E40" s="2"/>
      <c r="F40" s="2"/>
    </row>
    <row r="43" spans="5:6" x14ac:dyDescent="0.35">
      <c r="E43" s="2"/>
      <c r="F43" s="2"/>
    </row>
  </sheetData>
  <sortState xmlns:xlrd2="http://schemas.microsoft.com/office/spreadsheetml/2017/richdata2" ref="A2:I26">
    <sortCondition ref="I2:I26"/>
    <sortCondition ref="C2:C26"/>
  </sortState>
  <conditionalFormatting sqref="F2:F26">
    <cfRule type="colorScale" priority="4">
      <colorScale>
        <cfvo type="min"/>
        <cfvo type="max"/>
        <color rgb="FFFCFCFF"/>
        <color theme="8" tint="-0.249977111117893"/>
      </colorScale>
    </cfRule>
  </conditionalFormatting>
  <conditionalFormatting sqref="F34:F35 F37 F40 F43">
    <cfRule type="colorScale" priority="10">
      <colorScale>
        <cfvo type="min"/>
        <cfvo type="max"/>
        <color rgb="FFFCFCFF"/>
        <color theme="8" tint="-0.249977111117893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31"/>
  <sheetViews>
    <sheetView topLeftCell="F1" workbookViewId="0">
      <selection activeCell="S26" sqref="S26"/>
    </sheetView>
  </sheetViews>
  <sheetFormatPr defaultRowHeight="14.5" x14ac:dyDescent="0.35"/>
  <cols>
    <col min="1" max="1" width="14.453125" customWidth="1"/>
    <col min="2" max="2" width="12.7265625" customWidth="1"/>
    <col min="3" max="3" width="15.7265625" customWidth="1"/>
    <col min="13" max="13" width="15.6328125" bestFit="1" customWidth="1"/>
    <col min="19" max="19" width="32.54296875" bestFit="1" customWidth="1"/>
  </cols>
  <sheetData>
    <row r="1" spans="1:20" ht="43.5" x14ac:dyDescent="0.35">
      <c r="A1" t="s">
        <v>28</v>
      </c>
      <c r="B1" t="s">
        <v>55</v>
      </c>
      <c r="C1" t="s">
        <v>56</v>
      </c>
      <c r="E1" s="13" t="s">
        <v>112</v>
      </c>
      <c r="F1" s="13" t="s">
        <v>113</v>
      </c>
      <c r="G1" s="13" t="s">
        <v>93</v>
      </c>
      <c r="H1" s="13" t="s">
        <v>94</v>
      </c>
      <c r="M1" t="s">
        <v>0</v>
      </c>
      <c r="N1" t="s">
        <v>26</v>
      </c>
      <c r="O1" t="s">
        <v>27</v>
      </c>
      <c r="Q1" s="13" t="s">
        <v>112</v>
      </c>
      <c r="R1" s="13" t="s">
        <v>113</v>
      </c>
      <c r="S1" s="13" t="s">
        <v>93</v>
      </c>
      <c r="T1" s="13" t="s">
        <v>94</v>
      </c>
    </row>
    <row r="2" spans="1:20" x14ac:dyDescent="0.35">
      <c r="A2" t="s">
        <v>30</v>
      </c>
      <c r="B2">
        <v>0.54368577023958187</v>
      </c>
      <c r="C2">
        <v>3.107630869697169E-5</v>
      </c>
      <c r="E2" s="2" t="s">
        <v>2</v>
      </c>
      <c r="F2" s="2">
        <v>24</v>
      </c>
      <c r="G2" s="10" t="s">
        <v>97</v>
      </c>
      <c r="H2" s="7" t="s">
        <v>96</v>
      </c>
      <c r="I2" t="s">
        <v>97</v>
      </c>
      <c r="M2" t="s">
        <v>8</v>
      </c>
      <c r="N2">
        <v>0.87650869603248016</v>
      </c>
      <c r="O2">
        <v>4.8730591007395791E-11</v>
      </c>
      <c r="Q2" s="2" t="s">
        <v>8</v>
      </c>
      <c r="R2" s="2">
        <v>51</v>
      </c>
      <c r="S2" s="9" t="s">
        <v>98</v>
      </c>
      <c r="T2" s="4" t="s">
        <v>99</v>
      </c>
    </row>
    <row r="3" spans="1:20" x14ac:dyDescent="0.35">
      <c r="A3" t="s">
        <v>33</v>
      </c>
      <c r="B3">
        <v>0.62326065788880725</v>
      </c>
      <c r="C3">
        <v>1.3873926609836285E-4</v>
      </c>
      <c r="E3" s="2" t="s">
        <v>5</v>
      </c>
      <c r="F3" s="2">
        <v>28</v>
      </c>
      <c r="G3" s="10" t="s">
        <v>97</v>
      </c>
      <c r="H3" s="8" t="s">
        <v>100</v>
      </c>
      <c r="I3" t="s">
        <v>97</v>
      </c>
      <c r="M3" t="s">
        <v>10</v>
      </c>
      <c r="N3">
        <v>0.68209691056247801</v>
      </c>
      <c r="O3">
        <v>3.3060930283804504E-5</v>
      </c>
      <c r="Q3" s="2" t="s">
        <v>10</v>
      </c>
      <c r="R3" s="2">
        <v>37</v>
      </c>
      <c r="S3" s="9" t="s">
        <v>102</v>
      </c>
      <c r="T3" s="4" t="s">
        <v>99</v>
      </c>
    </row>
    <row r="4" spans="1:20" x14ac:dyDescent="0.35">
      <c r="A4" t="s">
        <v>43</v>
      </c>
      <c r="B4">
        <v>0.4864221823916331</v>
      </c>
      <c r="C4">
        <v>1.3678911621631189E-2</v>
      </c>
      <c r="E4" s="2" t="s">
        <v>15</v>
      </c>
      <c r="F4" s="2">
        <v>22</v>
      </c>
      <c r="G4" s="10" t="s">
        <v>97</v>
      </c>
      <c r="H4" s="8" t="s">
        <v>100</v>
      </c>
      <c r="I4" t="s">
        <v>97</v>
      </c>
      <c r="M4" t="s">
        <v>21</v>
      </c>
      <c r="N4">
        <v>0.67272002920779839</v>
      </c>
      <c r="O4">
        <v>2.8108859897136882E-13</v>
      </c>
      <c r="Q4" s="2" t="s">
        <v>21</v>
      </c>
      <c r="R4" s="2">
        <v>59</v>
      </c>
      <c r="S4" s="5" t="s">
        <v>103</v>
      </c>
      <c r="T4" s="8" t="s">
        <v>100</v>
      </c>
    </row>
    <row r="5" spans="1:20" x14ac:dyDescent="0.35">
      <c r="A5" t="s">
        <v>32</v>
      </c>
      <c r="B5" s="11">
        <v>0.24765961152808974</v>
      </c>
      <c r="C5" s="11">
        <v>8.6216023479680132E-2</v>
      </c>
      <c r="E5" s="2" t="s">
        <v>4</v>
      </c>
      <c r="F5" s="2">
        <v>28</v>
      </c>
      <c r="G5" s="10" t="s">
        <v>97</v>
      </c>
      <c r="H5" s="8" t="s">
        <v>100</v>
      </c>
      <c r="I5" t="s">
        <v>97</v>
      </c>
      <c r="M5" t="s">
        <v>25</v>
      </c>
      <c r="N5">
        <v>0.67140257296437522</v>
      </c>
      <c r="O5">
        <v>2.1133936945863926E-6</v>
      </c>
      <c r="Q5" s="2" t="s">
        <v>25</v>
      </c>
      <c r="R5" s="2">
        <v>21</v>
      </c>
      <c r="S5" s="12" t="s">
        <v>105</v>
      </c>
      <c r="T5" s="4" t="s">
        <v>99</v>
      </c>
    </row>
    <row r="6" spans="1:20" x14ac:dyDescent="0.35">
      <c r="A6" t="s">
        <v>37</v>
      </c>
      <c r="B6" s="11">
        <v>0.16192081219177498</v>
      </c>
      <c r="C6" s="11">
        <v>0.41972496394785064</v>
      </c>
      <c r="E6" s="2" t="s">
        <v>9</v>
      </c>
      <c r="F6" s="2">
        <v>8</v>
      </c>
      <c r="G6" s="10" t="s">
        <v>97</v>
      </c>
      <c r="H6" s="8" t="s">
        <v>100</v>
      </c>
      <c r="I6" t="s">
        <v>97</v>
      </c>
      <c r="M6" t="s">
        <v>23</v>
      </c>
      <c r="N6">
        <v>0.65654462028132865</v>
      </c>
      <c r="O6">
        <v>1.2572861295395751E-7</v>
      </c>
      <c r="Q6" s="2" t="s">
        <v>23</v>
      </c>
      <c r="R6" s="2">
        <v>32</v>
      </c>
      <c r="S6" s="6" t="s">
        <v>95</v>
      </c>
      <c r="T6" s="4" t="s">
        <v>99</v>
      </c>
    </row>
    <row r="7" spans="1:20" x14ac:dyDescent="0.35">
      <c r="A7" t="s">
        <v>35</v>
      </c>
      <c r="B7">
        <v>0.59931098871919242</v>
      </c>
      <c r="C7">
        <v>1.6830256760901412E-6</v>
      </c>
      <c r="E7" s="2" t="s">
        <v>7</v>
      </c>
      <c r="F7" s="2">
        <v>24</v>
      </c>
      <c r="G7" s="11" t="s">
        <v>101</v>
      </c>
      <c r="H7" s="8" t="s">
        <v>100</v>
      </c>
      <c r="I7" t="s">
        <v>101</v>
      </c>
    </row>
    <row r="8" spans="1:20" x14ac:dyDescent="0.35">
      <c r="A8" t="s">
        <v>54</v>
      </c>
      <c r="B8">
        <v>0.67140257296437522</v>
      </c>
      <c r="C8">
        <v>2.1133936945863926E-6</v>
      </c>
      <c r="E8" s="2" t="s">
        <v>25</v>
      </c>
      <c r="F8" s="2">
        <v>21</v>
      </c>
      <c r="G8" s="12" t="s">
        <v>105</v>
      </c>
      <c r="H8" s="4" t="s">
        <v>99</v>
      </c>
      <c r="I8" t="s">
        <v>101</v>
      </c>
    </row>
    <row r="9" spans="1:20" x14ac:dyDescent="0.35">
      <c r="A9" t="s">
        <v>45</v>
      </c>
      <c r="B9">
        <v>0.52259966945270431</v>
      </c>
      <c r="C9">
        <v>1.1717014739563949E-4</v>
      </c>
      <c r="E9" s="2" t="s">
        <v>17</v>
      </c>
      <c r="F9" s="2">
        <v>17</v>
      </c>
      <c r="G9" s="11" t="s">
        <v>101</v>
      </c>
      <c r="H9" s="8" t="s">
        <v>100</v>
      </c>
      <c r="I9" t="s">
        <v>101</v>
      </c>
    </row>
    <row r="10" spans="1:20" x14ac:dyDescent="0.35">
      <c r="A10" t="s">
        <v>46</v>
      </c>
      <c r="B10">
        <v>0.52707358664354953</v>
      </c>
      <c r="C10">
        <v>1.1866185483162394E-4</v>
      </c>
      <c r="E10" s="2" t="s">
        <v>18</v>
      </c>
      <c r="F10" s="2">
        <v>17</v>
      </c>
      <c r="G10" s="16" t="s">
        <v>116</v>
      </c>
      <c r="H10" s="7" t="s">
        <v>96</v>
      </c>
      <c r="I10" t="s">
        <v>101</v>
      </c>
    </row>
    <row r="11" spans="1:20" x14ac:dyDescent="0.35">
      <c r="A11" t="s">
        <v>42</v>
      </c>
      <c r="B11" s="11">
        <v>0.36213104601034396</v>
      </c>
      <c r="C11" s="11">
        <v>7.525675396271217E-2</v>
      </c>
      <c r="E11" s="2" t="s">
        <v>14</v>
      </c>
      <c r="F11" s="2">
        <v>26</v>
      </c>
      <c r="G11" s="11" t="s">
        <v>101</v>
      </c>
      <c r="H11" s="8" t="s">
        <v>100</v>
      </c>
      <c r="I11" t="s">
        <v>101</v>
      </c>
      <c r="M11" t="s">
        <v>20</v>
      </c>
      <c r="N11" s="11">
        <v>0.19610954488716423</v>
      </c>
      <c r="O11" s="11">
        <v>0.34746672638516285</v>
      </c>
      <c r="Q11" s="14" t="s">
        <v>20</v>
      </c>
      <c r="R11" s="2">
        <v>17</v>
      </c>
      <c r="S11" s="15" t="s">
        <v>115</v>
      </c>
    </row>
    <row r="12" spans="1:20" x14ac:dyDescent="0.35">
      <c r="A12" t="s">
        <v>47</v>
      </c>
      <c r="B12" s="11">
        <v>0.24519932103793871</v>
      </c>
      <c r="C12" s="11">
        <v>0.2273076866538416</v>
      </c>
      <c r="E12" s="14" t="s">
        <v>19</v>
      </c>
      <c r="F12" s="2">
        <v>44</v>
      </c>
      <c r="G12" s="16" t="s">
        <v>101</v>
      </c>
      <c r="H12" s="4" t="s">
        <v>99</v>
      </c>
      <c r="I12" s="15" t="s">
        <v>101</v>
      </c>
      <c r="M12" t="s">
        <v>9</v>
      </c>
      <c r="N12" s="11">
        <v>0.16192081219177498</v>
      </c>
      <c r="O12" s="11">
        <v>0.41972496394785064</v>
      </c>
      <c r="Q12" s="2" t="s">
        <v>9</v>
      </c>
      <c r="R12" s="2">
        <v>8</v>
      </c>
      <c r="S12" s="10" t="s">
        <v>97</v>
      </c>
      <c r="T12" s="8" t="s">
        <v>100</v>
      </c>
    </row>
    <row r="13" spans="1:20" x14ac:dyDescent="0.35">
      <c r="A13" t="s">
        <v>40</v>
      </c>
      <c r="B13">
        <v>0.56844198465515072</v>
      </c>
      <c r="C13">
        <v>1.5996594941862471E-3</v>
      </c>
      <c r="E13" s="2" t="s">
        <v>12</v>
      </c>
      <c r="F13" s="2">
        <v>12</v>
      </c>
      <c r="G13" s="15" t="s">
        <v>115</v>
      </c>
      <c r="I13" s="15" t="s">
        <v>115</v>
      </c>
      <c r="M13" t="s">
        <v>24</v>
      </c>
      <c r="N13" s="11">
        <v>-0.16206358396077855</v>
      </c>
      <c r="O13" s="11">
        <v>0.37552364016628925</v>
      </c>
      <c r="Q13" s="2" t="s">
        <v>24</v>
      </c>
      <c r="R13" s="2">
        <v>17</v>
      </c>
      <c r="S13" s="3" t="s">
        <v>104</v>
      </c>
      <c r="T13" s="4" t="s">
        <v>99</v>
      </c>
    </row>
    <row r="14" spans="1:20" x14ac:dyDescent="0.35">
      <c r="A14" t="s">
        <v>41</v>
      </c>
      <c r="B14">
        <v>0.38093899326768188</v>
      </c>
      <c r="C14">
        <v>4.1141049531140134E-3</v>
      </c>
      <c r="E14" s="2" t="s">
        <v>13</v>
      </c>
      <c r="F14" s="2">
        <v>6</v>
      </c>
      <c r="G14" s="15" t="s">
        <v>115</v>
      </c>
      <c r="I14" s="15" t="s">
        <v>115</v>
      </c>
    </row>
    <row r="15" spans="1:20" x14ac:dyDescent="0.35">
      <c r="A15" t="s">
        <v>48</v>
      </c>
      <c r="B15" s="11">
        <v>0.31961392173353192</v>
      </c>
      <c r="C15" s="11">
        <v>9.7328627722106653E-2</v>
      </c>
      <c r="E15" s="14" t="s">
        <v>48</v>
      </c>
      <c r="F15" s="2">
        <v>6</v>
      </c>
      <c r="G15" s="15" t="s">
        <v>117</v>
      </c>
      <c r="H15" s="8" t="s">
        <v>100</v>
      </c>
      <c r="I15" s="15" t="s">
        <v>115</v>
      </c>
    </row>
    <row r="16" spans="1:20" x14ac:dyDescent="0.35">
      <c r="A16" t="s">
        <v>49</v>
      </c>
      <c r="B16" s="11">
        <v>0.19610954488716423</v>
      </c>
      <c r="C16" s="11">
        <v>0.34746672638516285</v>
      </c>
      <c r="E16" s="14" t="s">
        <v>20</v>
      </c>
      <c r="F16" s="2">
        <v>17</v>
      </c>
      <c r="G16" s="15" t="s">
        <v>115</v>
      </c>
      <c r="I16" s="15" t="s">
        <v>115</v>
      </c>
    </row>
    <row r="17" spans="1:16" x14ac:dyDescent="0.35">
      <c r="A17" t="s">
        <v>53</v>
      </c>
      <c r="B17" s="11">
        <v>-0.16206358396077855</v>
      </c>
      <c r="C17" s="11">
        <v>0.37552364016628925</v>
      </c>
      <c r="E17" s="2" t="s">
        <v>24</v>
      </c>
      <c r="F17" s="2">
        <v>17</v>
      </c>
      <c r="G17" s="3" t="s">
        <v>104</v>
      </c>
      <c r="H17" s="4" t="s">
        <v>99</v>
      </c>
      <c r="I17" t="s">
        <v>115</v>
      </c>
    </row>
    <row r="18" spans="1:16" x14ac:dyDescent="0.35">
      <c r="A18" t="s">
        <v>36</v>
      </c>
      <c r="B18">
        <v>0.87650869603248016</v>
      </c>
      <c r="C18">
        <v>4.8730591007395791E-11</v>
      </c>
      <c r="E18" s="2" t="s">
        <v>8</v>
      </c>
      <c r="F18" s="2">
        <v>51</v>
      </c>
      <c r="G18" s="9" t="s">
        <v>98</v>
      </c>
      <c r="H18" s="4" t="s">
        <v>99</v>
      </c>
      <c r="I18" t="s">
        <v>198</v>
      </c>
    </row>
    <row r="19" spans="1:16" x14ac:dyDescent="0.35">
      <c r="A19" t="s">
        <v>34</v>
      </c>
      <c r="B19">
        <v>0.62239261702030557</v>
      </c>
      <c r="C19">
        <v>7.1267280677541649E-10</v>
      </c>
      <c r="E19" s="2" t="s">
        <v>6</v>
      </c>
      <c r="F19" s="2">
        <v>20</v>
      </c>
      <c r="G19" s="9" t="s">
        <v>98</v>
      </c>
      <c r="H19" s="4" t="s">
        <v>99</v>
      </c>
      <c r="I19" t="s">
        <v>198</v>
      </c>
    </row>
    <row r="20" spans="1:16" x14ac:dyDescent="0.35">
      <c r="A20" t="s">
        <v>31</v>
      </c>
      <c r="B20">
        <v>0.63639087794136295</v>
      </c>
      <c r="C20">
        <v>2.0752689590905177E-8</v>
      </c>
      <c r="E20" s="2" t="s">
        <v>3</v>
      </c>
      <c r="F20" s="2">
        <v>52</v>
      </c>
      <c r="G20" s="9" t="s">
        <v>98</v>
      </c>
      <c r="H20" s="4" t="s">
        <v>99</v>
      </c>
      <c r="I20" t="s">
        <v>198</v>
      </c>
      <c r="N20" t="s">
        <v>202</v>
      </c>
    </row>
    <row r="21" spans="1:16" x14ac:dyDescent="0.35">
      <c r="A21" t="s">
        <v>52</v>
      </c>
      <c r="B21">
        <v>0.65654462028132865</v>
      </c>
      <c r="C21">
        <v>1.2572861295395751E-7</v>
      </c>
      <c r="E21" s="2" t="s">
        <v>23</v>
      </c>
      <c r="F21" s="2">
        <v>32</v>
      </c>
      <c r="G21" s="6" t="s">
        <v>95</v>
      </c>
      <c r="H21" s="4" t="s">
        <v>99</v>
      </c>
      <c r="I21" t="s">
        <v>198</v>
      </c>
      <c r="M21" t="s">
        <v>93</v>
      </c>
      <c r="N21" t="s">
        <v>26</v>
      </c>
      <c r="O21" t="s">
        <v>158</v>
      </c>
      <c r="P21" t="s">
        <v>201</v>
      </c>
    </row>
    <row r="22" spans="1:16" x14ac:dyDescent="0.35">
      <c r="A22" t="s">
        <v>51</v>
      </c>
      <c r="B22">
        <v>0.60427228479425976</v>
      </c>
      <c r="C22">
        <v>1.3095390136363975E-6</v>
      </c>
      <c r="E22" s="2" t="s">
        <v>22</v>
      </c>
      <c r="F22" s="2">
        <v>17</v>
      </c>
      <c r="G22" s="6" t="s">
        <v>95</v>
      </c>
      <c r="H22" s="4" t="s">
        <v>99</v>
      </c>
      <c r="I22" t="s">
        <v>198</v>
      </c>
      <c r="M22" t="s">
        <v>200</v>
      </c>
      <c r="N22">
        <v>0.4864221823916331</v>
      </c>
      <c r="O22" s="1">
        <v>1.3678911621631189E-2</v>
      </c>
      <c r="P22">
        <v>5</v>
      </c>
    </row>
    <row r="23" spans="1:16" x14ac:dyDescent="0.35">
      <c r="A23" t="s">
        <v>38</v>
      </c>
      <c r="B23">
        <v>0.68209691056247801</v>
      </c>
      <c r="C23">
        <v>3.3060930283804504E-5</v>
      </c>
      <c r="E23" s="2" t="s">
        <v>10</v>
      </c>
      <c r="F23" s="2">
        <v>37</v>
      </c>
      <c r="G23" s="9" t="s">
        <v>102</v>
      </c>
      <c r="H23" s="4" t="s">
        <v>99</v>
      </c>
      <c r="I23" t="s">
        <v>198</v>
      </c>
      <c r="M23" t="s">
        <v>101</v>
      </c>
      <c r="N23">
        <v>0.52259966945270431</v>
      </c>
      <c r="O23" s="1">
        <v>1.1717014739563949E-4</v>
      </c>
      <c r="P23">
        <v>5</v>
      </c>
    </row>
    <row r="24" spans="1:16" x14ac:dyDescent="0.35">
      <c r="A24" t="s">
        <v>39</v>
      </c>
      <c r="B24">
        <v>0.60265426859402615</v>
      </c>
      <c r="C24">
        <v>1.121068750015585E-3</v>
      </c>
      <c r="E24" s="2" t="s">
        <v>11</v>
      </c>
      <c r="F24" s="2">
        <v>33</v>
      </c>
      <c r="G24" s="6" t="s">
        <v>95</v>
      </c>
      <c r="H24" s="7" t="s">
        <v>96</v>
      </c>
      <c r="I24" t="s">
        <v>198</v>
      </c>
      <c r="M24" t="s">
        <v>198</v>
      </c>
      <c r="N24">
        <v>0.60427228479425976</v>
      </c>
      <c r="O24" s="1">
        <v>1.3095390136363975E-6</v>
      </c>
      <c r="P24">
        <v>9</v>
      </c>
    </row>
    <row r="25" spans="1:16" x14ac:dyDescent="0.35">
      <c r="A25" t="s">
        <v>29</v>
      </c>
      <c r="B25">
        <v>0.45170808128224915</v>
      </c>
      <c r="C25">
        <v>3.0307528964768583E-3</v>
      </c>
      <c r="E25" s="2" t="s">
        <v>1</v>
      </c>
      <c r="F25" s="2">
        <v>40</v>
      </c>
      <c r="G25" s="6" t="s">
        <v>95</v>
      </c>
      <c r="H25" s="7" t="s">
        <v>96</v>
      </c>
      <c r="I25" t="s">
        <v>198</v>
      </c>
      <c r="M25" t="s">
        <v>103</v>
      </c>
      <c r="N25">
        <v>0.67272002920779839</v>
      </c>
      <c r="O25" s="1">
        <v>2.8108859897136882E-13</v>
      </c>
      <c r="P25">
        <v>1</v>
      </c>
    </row>
    <row r="26" spans="1:16" x14ac:dyDescent="0.35">
      <c r="A26" t="s">
        <v>44</v>
      </c>
      <c r="B26">
        <v>0.50112287042163484</v>
      </c>
      <c r="C26">
        <v>9.1117478995626847E-3</v>
      </c>
      <c r="E26" s="2" t="s">
        <v>16</v>
      </c>
      <c r="F26" s="2">
        <v>33</v>
      </c>
      <c r="G26" s="17" t="s">
        <v>114</v>
      </c>
      <c r="H26" s="4" t="s">
        <v>99</v>
      </c>
      <c r="I26" t="s">
        <v>198</v>
      </c>
    </row>
    <row r="27" spans="1:16" x14ac:dyDescent="0.35">
      <c r="A27" t="s">
        <v>50</v>
      </c>
      <c r="B27">
        <v>0.67272002920779839</v>
      </c>
      <c r="C27">
        <v>2.8108859897136882E-13</v>
      </c>
      <c r="E27" s="2" t="s">
        <v>21</v>
      </c>
      <c r="F27" s="2">
        <v>59</v>
      </c>
      <c r="G27" s="5" t="s">
        <v>103</v>
      </c>
      <c r="H27" s="8" t="s">
        <v>100</v>
      </c>
      <c r="I27" t="s">
        <v>103</v>
      </c>
      <c r="N27" t="s">
        <v>209</v>
      </c>
      <c r="O27" t="s">
        <v>208</v>
      </c>
    </row>
    <row r="29" spans="1:16" x14ac:dyDescent="0.35">
      <c r="N29">
        <f>(B2*B3*B4*B5*B6)^(1/5)</f>
        <v>0.36646945525879532</v>
      </c>
      <c r="O29">
        <f>(C2*C3*C4*C5*C6)^(1/5)</f>
        <v>4.6328328393359791E-3</v>
      </c>
      <c r="P29" s="30">
        <f>-LOG10(O29)</f>
        <v>2.334153369614171</v>
      </c>
    </row>
    <row r="30" spans="1:16" x14ac:dyDescent="0.35">
      <c r="N30">
        <f>(B7*B8*B9*B10*B11*B12*B27)^(1/7)</f>
        <v>0.48831412469022417</v>
      </c>
      <c r="O30">
        <f>(C7*C8*C9*C10*C11*C12*C27)^(1/7)</f>
        <v>1.5725349226237551E-5</v>
      </c>
      <c r="P30" s="30">
        <f>-LOG10(O30)</f>
        <v>4.8033997010277627</v>
      </c>
    </row>
    <row r="31" spans="1:16" x14ac:dyDescent="0.35">
      <c r="N31">
        <f>(B18*B19*B20*B21*B22*B23*B24*B25*B26)^(1/9)</f>
        <v>0.61624141419286604</v>
      </c>
      <c r="O31">
        <f>(C18*C19*C20*C21*C22*C23*C24*C25*C26)^(1/9)</f>
        <v>1.7045197604095172E-6</v>
      </c>
      <c r="P31" s="30">
        <f>-LOG10(O31)</f>
        <v>5.7683979596524155</v>
      </c>
    </row>
  </sheetData>
  <sortState xmlns:xlrd2="http://schemas.microsoft.com/office/spreadsheetml/2017/richdata2" ref="A2:I27">
    <sortCondition ref="I2:I27"/>
    <sortCondition ref="C2:C27"/>
  </sortState>
  <conditionalFormatting sqref="F2:F27">
    <cfRule type="colorScale" priority="4">
      <colorScale>
        <cfvo type="min"/>
        <cfvo type="max"/>
        <color rgb="FFFCFCFF"/>
        <color theme="8" tint="-0.249977111117893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7"/>
  <sheetViews>
    <sheetView workbookViewId="0">
      <selection activeCell="A2" sqref="A2"/>
    </sheetView>
  </sheetViews>
  <sheetFormatPr defaultRowHeight="14.5" x14ac:dyDescent="0.35"/>
  <cols>
    <col min="1" max="1" width="14.453125" customWidth="1"/>
    <col min="2" max="2" width="14.36328125" customWidth="1"/>
    <col min="3" max="3" width="15.7265625" customWidth="1"/>
    <col min="19" max="19" width="32.54296875" bestFit="1" customWidth="1"/>
  </cols>
  <sheetData>
    <row r="1" spans="1:20" ht="43.5" x14ac:dyDescent="0.35">
      <c r="A1" t="s">
        <v>0</v>
      </c>
      <c r="B1" t="s">
        <v>26</v>
      </c>
      <c r="C1" t="s">
        <v>27</v>
      </c>
      <c r="E1" s="13" t="s">
        <v>112</v>
      </c>
      <c r="F1" s="13" t="s">
        <v>113</v>
      </c>
      <c r="G1" s="13" t="s">
        <v>93</v>
      </c>
      <c r="H1" s="13" t="s">
        <v>94</v>
      </c>
      <c r="M1" t="s">
        <v>0</v>
      </c>
      <c r="N1" t="s">
        <v>26</v>
      </c>
      <c r="O1" t="s">
        <v>27</v>
      </c>
      <c r="Q1" s="13" t="s">
        <v>112</v>
      </c>
      <c r="R1" s="13" t="s">
        <v>113</v>
      </c>
      <c r="S1" s="13" t="s">
        <v>93</v>
      </c>
      <c r="T1" s="13" t="s">
        <v>94</v>
      </c>
    </row>
    <row r="2" spans="1:20" x14ac:dyDescent="0.35">
      <c r="A2" t="s">
        <v>8</v>
      </c>
      <c r="B2">
        <v>0.90022356650050417</v>
      </c>
      <c r="C2">
        <v>2.3430301718470719E-12</v>
      </c>
      <c r="E2" s="2" t="s">
        <v>8</v>
      </c>
      <c r="F2" s="2">
        <v>51</v>
      </c>
      <c r="G2" s="9" t="s">
        <v>98</v>
      </c>
      <c r="H2" s="4" t="s">
        <v>99</v>
      </c>
      <c r="M2" t="s">
        <v>8</v>
      </c>
      <c r="N2">
        <v>0.90022356650050417</v>
      </c>
      <c r="O2">
        <v>2.3430301718470719E-12</v>
      </c>
      <c r="Q2" s="2" t="s">
        <v>8</v>
      </c>
      <c r="R2" s="2">
        <v>51</v>
      </c>
      <c r="S2" s="9" t="s">
        <v>98</v>
      </c>
      <c r="T2" s="4" t="s">
        <v>99</v>
      </c>
    </row>
    <row r="3" spans="1:20" x14ac:dyDescent="0.35">
      <c r="A3" t="s">
        <v>12</v>
      </c>
      <c r="B3">
        <v>0.77120497716272807</v>
      </c>
      <c r="C3">
        <v>1.5609115725846041E-6</v>
      </c>
      <c r="E3" s="2" t="s">
        <v>12</v>
      </c>
      <c r="F3" s="2">
        <v>12</v>
      </c>
      <c r="G3" s="15" t="s">
        <v>115</v>
      </c>
      <c r="M3" t="s">
        <v>12</v>
      </c>
      <c r="N3">
        <v>0.77120497716272807</v>
      </c>
      <c r="O3">
        <v>1.5609115725846041E-6</v>
      </c>
      <c r="Q3" s="2" t="s">
        <v>12</v>
      </c>
      <c r="R3" s="2">
        <v>12</v>
      </c>
      <c r="S3" s="15" t="s">
        <v>115</v>
      </c>
    </row>
    <row r="4" spans="1:20" x14ac:dyDescent="0.35">
      <c r="A4" t="s">
        <v>10</v>
      </c>
      <c r="B4">
        <v>0.74666121244525252</v>
      </c>
      <c r="C4">
        <v>2.1540174358524407E-6</v>
      </c>
      <c r="E4" s="2" t="s">
        <v>10</v>
      </c>
      <c r="F4" s="2">
        <v>37</v>
      </c>
      <c r="G4" s="9" t="s">
        <v>102</v>
      </c>
      <c r="H4" s="4" t="s">
        <v>99</v>
      </c>
      <c r="M4" t="s">
        <v>10</v>
      </c>
      <c r="N4">
        <v>0.74666121244525252</v>
      </c>
      <c r="O4">
        <v>2.1540174358524407E-6</v>
      </c>
      <c r="Q4" s="2" t="s">
        <v>10</v>
      </c>
      <c r="R4" s="2">
        <v>37</v>
      </c>
      <c r="S4" s="9" t="s">
        <v>102</v>
      </c>
      <c r="T4" s="4" t="s">
        <v>99</v>
      </c>
    </row>
    <row r="5" spans="1:20" x14ac:dyDescent="0.35">
      <c r="A5" t="s">
        <v>15</v>
      </c>
      <c r="B5">
        <v>0.74284670099461292</v>
      </c>
      <c r="C5">
        <v>2.1084452216775921E-5</v>
      </c>
      <c r="E5" s="2" t="s">
        <v>15</v>
      </c>
      <c r="F5" s="2">
        <v>22</v>
      </c>
      <c r="G5" s="10" t="s">
        <v>97</v>
      </c>
      <c r="H5" s="8" t="s">
        <v>100</v>
      </c>
      <c r="M5" t="s">
        <v>15</v>
      </c>
      <c r="N5">
        <v>0.74284670099461292</v>
      </c>
      <c r="O5">
        <v>2.1084452216775921E-5</v>
      </c>
      <c r="Q5" s="2" t="s">
        <v>15</v>
      </c>
      <c r="R5" s="2">
        <v>22</v>
      </c>
      <c r="S5" s="10" t="s">
        <v>97</v>
      </c>
      <c r="T5" s="8" t="s">
        <v>100</v>
      </c>
    </row>
    <row r="6" spans="1:20" x14ac:dyDescent="0.35">
      <c r="A6" t="s">
        <v>21</v>
      </c>
      <c r="B6">
        <v>0.73065799674981102</v>
      </c>
      <c r="C6">
        <v>2.0284756340284919E-16</v>
      </c>
      <c r="E6" s="2" t="s">
        <v>21</v>
      </c>
      <c r="F6" s="2">
        <v>59</v>
      </c>
      <c r="G6" s="5" t="s">
        <v>103</v>
      </c>
      <c r="H6" s="8" t="s">
        <v>100</v>
      </c>
      <c r="M6" t="s">
        <v>21</v>
      </c>
      <c r="N6">
        <v>0.73065799674981102</v>
      </c>
      <c r="O6">
        <v>2.0284756340284919E-16</v>
      </c>
      <c r="Q6" s="2" t="s">
        <v>21</v>
      </c>
      <c r="R6" s="2">
        <v>59</v>
      </c>
      <c r="S6" s="5" t="s">
        <v>103</v>
      </c>
      <c r="T6" s="8" t="s">
        <v>100</v>
      </c>
    </row>
    <row r="7" spans="1:20" x14ac:dyDescent="0.35">
      <c r="A7" t="s">
        <v>7</v>
      </c>
      <c r="B7">
        <v>0.69932880464517466</v>
      </c>
      <c r="C7">
        <v>4.0432031238914308E-9</v>
      </c>
      <c r="E7" s="2" t="s">
        <v>7</v>
      </c>
      <c r="F7" s="2">
        <v>24</v>
      </c>
      <c r="G7" s="11" t="s">
        <v>101</v>
      </c>
      <c r="H7" s="8" t="s">
        <v>100</v>
      </c>
    </row>
    <row r="8" spans="1:20" x14ac:dyDescent="0.35">
      <c r="A8" t="s">
        <v>6</v>
      </c>
      <c r="B8">
        <v>0.69271809932643524</v>
      </c>
      <c r="C8">
        <v>1.0888930552097802E-12</v>
      </c>
      <c r="E8" s="2" t="s">
        <v>6</v>
      </c>
      <c r="F8" s="2">
        <v>20</v>
      </c>
      <c r="G8" s="9" t="s">
        <v>98</v>
      </c>
      <c r="H8" s="4" t="s">
        <v>99</v>
      </c>
    </row>
    <row r="9" spans="1:20" x14ac:dyDescent="0.35">
      <c r="A9" t="s">
        <v>5</v>
      </c>
      <c r="B9">
        <v>0.67788943594085216</v>
      </c>
      <c r="C9">
        <v>2.0199879192687973E-5</v>
      </c>
      <c r="E9" s="2" t="s">
        <v>5</v>
      </c>
      <c r="F9" s="2">
        <v>28</v>
      </c>
      <c r="G9" s="10" t="s">
        <v>97</v>
      </c>
      <c r="H9" s="8" t="s">
        <v>100</v>
      </c>
    </row>
    <row r="10" spans="1:20" x14ac:dyDescent="0.35">
      <c r="A10" t="s">
        <v>16</v>
      </c>
      <c r="B10">
        <v>0.64685231634698115</v>
      </c>
      <c r="C10">
        <v>3.5560224559101026E-4</v>
      </c>
      <c r="E10" s="2" t="s">
        <v>16</v>
      </c>
      <c r="F10" s="2">
        <v>33</v>
      </c>
      <c r="G10" s="17" t="s">
        <v>114</v>
      </c>
      <c r="H10" s="4" t="s">
        <v>99</v>
      </c>
    </row>
    <row r="11" spans="1:20" x14ac:dyDescent="0.35">
      <c r="A11" t="s">
        <v>23</v>
      </c>
      <c r="B11">
        <v>0.6272343897510948</v>
      </c>
      <c r="C11">
        <v>6.500308935270084E-7</v>
      </c>
      <c r="E11" s="2" t="s">
        <v>23</v>
      </c>
      <c r="F11" s="2">
        <v>32</v>
      </c>
      <c r="G11" s="6" t="s">
        <v>95</v>
      </c>
      <c r="H11" s="4" t="s">
        <v>99</v>
      </c>
      <c r="M11" t="s">
        <v>9</v>
      </c>
      <c r="N11">
        <v>0.18497200108784331</v>
      </c>
      <c r="O11">
        <v>0.35565915858744968</v>
      </c>
      <c r="Q11" s="2" t="s">
        <v>9</v>
      </c>
      <c r="R11" s="2">
        <v>8</v>
      </c>
      <c r="S11" s="10" t="s">
        <v>97</v>
      </c>
      <c r="T11" s="8" t="s">
        <v>100</v>
      </c>
    </row>
    <row r="12" spans="1:20" x14ac:dyDescent="0.35">
      <c r="A12" t="s">
        <v>2</v>
      </c>
      <c r="B12">
        <v>0.61280919915353438</v>
      </c>
      <c r="C12">
        <v>1.373102716664266E-6</v>
      </c>
      <c r="E12" s="2" t="s">
        <v>2</v>
      </c>
      <c r="F12" s="2">
        <v>24</v>
      </c>
      <c r="G12" s="10" t="s">
        <v>97</v>
      </c>
      <c r="H12" s="7" t="s">
        <v>96</v>
      </c>
      <c r="M12" t="s">
        <v>24</v>
      </c>
      <c r="N12">
        <v>9.6844907823554663E-2</v>
      </c>
      <c r="O12">
        <v>0.59799674759248733</v>
      </c>
      <c r="Q12" s="2" t="s">
        <v>24</v>
      </c>
      <c r="R12" s="2">
        <v>17</v>
      </c>
      <c r="S12" s="3" t="s">
        <v>104</v>
      </c>
      <c r="T12" s="4" t="s">
        <v>99</v>
      </c>
    </row>
    <row r="13" spans="1:20" x14ac:dyDescent="0.35">
      <c r="A13" t="s">
        <v>13</v>
      </c>
      <c r="B13">
        <v>0.59566799193100994</v>
      </c>
      <c r="C13">
        <v>1.6066562885391842E-6</v>
      </c>
      <c r="E13" s="2" t="s">
        <v>13</v>
      </c>
      <c r="F13" s="2">
        <v>6</v>
      </c>
      <c r="G13" s="15" t="s">
        <v>115</v>
      </c>
      <c r="M13" t="s">
        <v>20</v>
      </c>
      <c r="N13">
        <v>7.3861545257493902E-2</v>
      </c>
      <c r="O13">
        <v>0.72567809802143213</v>
      </c>
      <c r="Q13" s="14" t="s">
        <v>20</v>
      </c>
      <c r="R13" s="2">
        <v>17</v>
      </c>
      <c r="S13" s="15" t="s">
        <v>115</v>
      </c>
    </row>
    <row r="14" spans="1:20" x14ac:dyDescent="0.35">
      <c r="A14" t="s">
        <v>22</v>
      </c>
      <c r="B14">
        <v>0.5859738748411697</v>
      </c>
      <c r="C14">
        <v>3.2369858620406693E-6</v>
      </c>
      <c r="E14" s="2" t="s">
        <v>22</v>
      </c>
      <c r="F14" s="2">
        <v>17</v>
      </c>
      <c r="G14" s="6" t="s">
        <v>95</v>
      </c>
      <c r="H14" s="4" t="s">
        <v>99</v>
      </c>
    </row>
    <row r="15" spans="1:20" x14ac:dyDescent="0.35">
      <c r="A15" t="s">
        <v>3</v>
      </c>
      <c r="B15">
        <v>0.56540195582072283</v>
      </c>
      <c r="C15">
        <v>1.3780762556248623E-6</v>
      </c>
      <c r="E15" s="2" t="s">
        <v>3</v>
      </c>
      <c r="F15" s="2">
        <v>52</v>
      </c>
      <c r="G15" s="9" t="s">
        <v>98</v>
      </c>
      <c r="H15" s="4" t="s">
        <v>99</v>
      </c>
    </row>
    <row r="16" spans="1:20" x14ac:dyDescent="0.35">
      <c r="A16" t="s">
        <v>17</v>
      </c>
      <c r="B16">
        <v>0.55364262710357581</v>
      </c>
      <c r="C16">
        <v>3.6850187073103388E-5</v>
      </c>
      <c r="E16" s="2" t="s">
        <v>17</v>
      </c>
      <c r="F16" s="2">
        <v>17</v>
      </c>
      <c r="G16" s="11" t="s">
        <v>101</v>
      </c>
      <c r="H16" s="8" t="s">
        <v>100</v>
      </c>
    </row>
    <row r="17" spans="1:9" x14ac:dyDescent="0.35">
      <c r="A17" t="s">
        <v>25</v>
      </c>
      <c r="B17">
        <v>0.52254007054941809</v>
      </c>
      <c r="C17">
        <v>5.4242520495554887E-4</v>
      </c>
      <c r="E17" s="2" t="s">
        <v>25</v>
      </c>
      <c r="F17" s="2">
        <v>21</v>
      </c>
      <c r="G17" s="12" t="s">
        <v>105</v>
      </c>
      <c r="H17" s="4" t="s">
        <v>99</v>
      </c>
    </row>
    <row r="18" spans="1:9" x14ac:dyDescent="0.35">
      <c r="A18" t="s">
        <v>11</v>
      </c>
      <c r="B18">
        <v>0.50068038947602911</v>
      </c>
      <c r="C18">
        <v>9.1830891049663431E-3</v>
      </c>
      <c r="E18" s="2" t="s">
        <v>11</v>
      </c>
      <c r="F18" s="2">
        <v>33</v>
      </c>
      <c r="G18" s="6" t="s">
        <v>95</v>
      </c>
      <c r="H18" s="7" t="s">
        <v>96</v>
      </c>
    </row>
    <row r="19" spans="1:9" x14ac:dyDescent="0.35">
      <c r="A19" t="s">
        <v>14</v>
      </c>
      <c r="B19">
        <v>0.46835172471922765</v>
      </c>
      <c r="C19">
        <v>1.8211812623558553E-2</v>
      </c>
      <c r="E19" s="2" t="s">
        <v>14</v>
      </c>
      <c r="F19" s="2">
        <v>26</v>
      </c>
      <c r="G19" s="11" t="s">
        <v>101</v>
      </c>
      <c r="H19" s="8" t="s">
        <v>100</v>
      </c>
    </row>
    <row r="20" spans="1:9" x14ac:dyDescent="0.35">
      <c r="A20" t="s">
        <v>1</v>
      </c>
      <c r="B20">
        <v>0.4094335507071904</v>
      </c>
      <c r="C20">
        <v>7.8552623158357794E-3</v>
      </c>
      <c r="E20" s="2" t="s">
        <v>1</v>
      </c>
      <c r="F20" s="2">
        <v>40</v>
      </c>
      <c r="G20" s="6" t="s">
        <v>95</v>
      </c>
      <c r="H20" s="7" t="s">
        <v>96</v>
      </c>
      <c r="I20" t="s">
        <v>189</v>
      </c>
    </row>
    <row r="21" spans="1:9" x14ac:dyDescent="0.35">
      <c r="A21" t="s">
        <v>48</v>
      </c>
      <c r="B21">
        <v>0.34064134153336056</v>
      </c>
      <c r="C21">
        <v>7.6094889058808873E-2</v>
      </c>
      <c r="E21" s="14" t="s">
        <v>48</v>
      </c>
      <c r="F21" s="2">
        <v>6</v>
      </c>
      <c r="G21" s="15" t="s">
        <v>117</v>
      </c>
      <c r="H21" s="8" t="s">
        <v>100</v>
      </c>
    </row>
    <row r="22" spans="1:9" x14ac:dyDescent="0.35">
      <c r="A22" t="s">
        <v>19</v>
      </c>
      <c r="B22">
        <v>0.26747909010953819</v>
      </c>
      <c r="C22">
        <v>0.18649271783136245</v>
      </c>
      <c r="E22" s="14" t="s">
        <v>19</v>
      </c>
      <c r="F22" s="2">
        <v>44</v>
      </c>
      <c r="G22" s="16" t="s">
        <v>101</v>
      </c>
      <c r="H22" s="4" t="s">
        <v>99</v>
      </c>
    </row>
    <row r="23" spans="1:9" x14ac:dyDescent="0.35">
      <c r="A23" t="s">
        <v>4</v>
      </c>
      <c r="B23">
        <v>0.25732112694281123</v>
      </c>
      <c r="C23">
        <v>7.4271123209791623E-2</v>
      </c>
      <c r="E23" s="2" t="s">
        <v>4</v>
      </c>
      <c r="F23" s="2">
        <v>28</v>
      </c>
      <c r="G23" s="10" t="s">
        <v>97</v>
      </c>
      <c r="H23" s="8" t="s">
        <v>100</v>
      </c>
    </row>
    <row r="24" spans="1:9" x14ac:dyDescent="0.35">
      <c r="A24" t="s">
        <v>18</v>
      </c>
      <c r="B24">
        <v>0.1968166624221975</v>
      </c>
      <c r="C24">
        <v>0.17998557724530595</v>
      </c>
      <c r="E24" s="2" t="s">
        <v>18</v>
      </c>
      <c r="F24" s="2">
        <v>17</v>
      </c>
      <c r="G24" s="16" t="s">
        <v>116</v>
      </c>
      <c r="H24" s="7" t="s">
        <v>96</v>
      </c>
    </row>
    <row r="25" spans="1:9" x14ac:dyDescent="0.35">
      <c r="A25" t="s">
        <v>9</v>
      </c>
      <c r="B25">
        <v>0.18497200108784331</v>
      </c>
      <c r="C25">
        <v>0.35565915858744968</v>
      </c>
      <c r="E25" s="2" t="s">
        <v>9</v>
      </c>
      <c r="F25" s="2">
        <v>8</v>
      </c>
      <c r="G25" s="10" t="s">
        <v>97</v>
      </c>
      <c r="H25" s="8" t="s">
        <v>100</v>
      </c>
    </row>
    <row r="26" spans="1:9" x14ac:dyDescent="0.35">
      <c r="A26" t="s">
        <v>24</v>
      </c>
      <c r="B26">
        <v>9.6844907823554663E-2</v>
      </c>
      <c r="C26">
        <v>0.59799674759248733</v>
      </c>
      <c r="E26" s="2" t="s">
        <v>24</v>
      </c>
      <c r="F26" s="2">
        <v>17</v>
      </c>
      <c r="G26" s="3" t="s">
        <v>104</v>
      </c>
      <c r="H26" s="4" t="s">
        <v>99</v>
      </c>
    </row>
    <row r="27" spans="1:9" x14ac:dyDescent="0.35">
      <c r="A27" t="s">
        <v>20</v>
      </c>
      <c r="B27">
        <v>7.3861545257493902E-2</v>
      </c>
      <c r="C27">
        <v>0.72567809802143213</v>
      </c>
      <c r="E27" s="14" t="s">
        <v>20</v>
      </c>
      <c r="F27" s="2">
        <v>17</v>
      </c>
      <c r="G27" s="15" t="s">
        <v>115</v>
      </c>
    </row>
  </sheetData>
  <sortState xmlns:xlrd2="http://schemas.microsoft.com/office/spreadsheetml/2017/richdata2" ref="A2:H27">
    <sortCondition descending="1" ref="B2:B27"/>
  </sortState>
  <conditionalFormatting sqref="F2:F27">
    <cfRule type="colorScale" priority="23">
      <colorScale>
        <cfvo type="min"/>
        <cfvo type="max"/>
        <color rgb="FFFCFCFF"/>
        <color theme="8" tint="-0.249977111117893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2B61E-AB94-4CB1-9A11-31C30AE27A77}">
  <dimension ref="A1:T29"/>
  <sheetViews>
    <sheetView tabSelected="1" topLeftCell="F1" workbookViewId="0">
      <selection activeCell="N26" sqref="N26"/>
    </sheetView>
  </sheetViews>
  <sheetFormatPr defaultRowHeight="14.5" x14ac:dyDescent="0.35"/>
  <cols>
    <col min="1" max="1" width="14.453125" customWidth="1"/>
    <col min="2" max="2" width="14.36328125" customWidth="1"/>
    <col min="3" max="3" width="15.7265625" customWidth="1"/>
    <col min="13" max="13" width="13.54296875" customWidth="1"/>
    <col min="19" max="19" width="32.54296875" bestFit="1" customWidth="1"/>
  </cols>
  <sheetData>
    <row r="1" spans="1:20" ht="43.5" x14ac:dyDescent="0.35">
      <c r="A1" t="s">
        <v>0</v>
      </c>
      <c r="B1" t="s">
        <v>26</v>
      </c>
      <c r="C1" t="s">
        <v>27</v>
      </c>
      <c r="E1" s="13" t="s">
        <v>112</v>
      </c>
      <c r="F1" s="13" t="s">
        <v>113</v>
      </c>
      <c r="G1" s="13" t="s">
        <v>93</v>
      </c>
      <c r="H1" s="13" t="s">
        <v>94</v>
      </c>
      <c r="M1" t="s">
        <v>0</v>
      </c>
      <c r="N1" t="s">
        <v>26</v>
      </c>
      <c r="O1" t="s">
        <v>27</v>
      </c>
      <c r="Q1" s="13" t="s">
        <v>112</v>
      </c>
      <c r="R1" s="13" t="s">
        <v>113</v>
      </c>
      <c r="S1" s="13" t="s">
        <v>93</v>
      </c>
      <c r="T1" s="13" t="s">
        <v>94</v>
      </c>
    </row>
    <row r="2" spans="1:20" x14ac:dyDescent="0.35">
      <c r="A2" t="s">
        <v>2</v>
      </c>
      <c r="B2">
        <v>0.61280919915353438</v>
      </c>
      <c r="C2">
        <v>1.373102716664266E-6</v>
      </c>
      <c r="E2" s="2" t="s">
        <v>2</v>
      </c>
      <c r="F2" s="2">
        <v>24</v>
      </c>
      <c r="G2" s="10" t="s">
        <v>97</v>
      </c>
      <c r="H2" s="7" t="s">
        <v>96</v>
      </c>
      <c r="I2" t="s">
        <v>97</v>
      </c>
      <c r="M2" t="s">
        <v>8</v>
      </c>
      <c r="N2">
        <v>0.90022356650050417</v>
      </c>
      <c r="O2">
        <v>2.3430301718470719E-12</v>
      </c>
      <c r="Q2" s="2" t="s">
        <v>8</v>
      </c>
      <c r="R2" s="2">
        <v>51</v>
      </c>
      <c r="S2" s="9" t="s">
        <v>98</v>
      </c>
      <c r="T2" s="4" t="s">
        <v>99</v>
      </c>
    </row>
    <row r="3" spans="1:20" x14ac:dyDescent="0.35">
      <c r="A3" t="s">
        <v>5</v>
      </c>
      <c r="B3">
        <v>0.67788943594085216</v>
      </c>
      <c r="C3">
        <v>2.0199879192687973E-5</v>
      </c>
      <c r="E3" s="2" t="s">
        <v>5</v>
      </c>
      <c r="F3" s="2">
        <v>28</v>
      </c>
      <c r="G3" s="10" t="s">
        <v>97</v>
      </c>
      <c r="H3" s="8" t="s">
        <v>100</v>
      </c>
      <c r="I3" t="s">
        <v>97</v>
      </c>
      <c r="M3" t="s">
        <v>12</v>
      </c>
      <c r="N3">
        <v>0.77120497716272807</v>
      </c>
      <c r="O3">
        <v>1.5609115725846041E-6</v>
      </c>
      <c r="Q3" s="2" t="s">
        <v>12</v>
      </c>
      <c r="R3" s="2">
        <v>12</v>
      </c>
      <c r="S3" s="15" t="s">
        <v>115</v>
      </c>
    </row>
    <row r="4" spans="1:20" x14ac:dyDescent="0.35">
      <c r="A4" t="s">
        <v>15</v>
      </c>
      <c r="B4">
        <v>0.74284670099461292</v>
      </c>
      <c r="C4">
        <v>2.1084452216775921E-5</v>
      </c>
      <c r="E4" s="2" t="s">
        <v>15</v>
      </c>
      <c r="F4" s="2">
        <v>22</v>
      </c>
      <c r="G4" s="10" t="s">
        <v>97</v>
      </c>
      <c r="H4" s="8" t="s">
        <v>100</v>
      </c>
      <c r="I4" t="s">
        <v>97</v>
      </c>
      <c r="M4" t="s">
        <v>10</v>
      </c>
      <c r="N4">
        <v>0.74666121244525252</v>
      </c>
      <c r="O4">
        <v>2.1540174358524407E-6</v>
      </c>
      <c r="Q4" s="2" t="s">
        <v>10</v>
      </c>
      <c r="R4" s="2">
        <v>37</v>
      </c>
      <c r="S4" s="9" t="s">
        <v>102</v>
      </c>
      <c r="T4" s="4" t="s">
        <v>99</v>
      </c>
    </row>
    <row r="5" spans="1:20" x14ac:dyDescent="0.35">
      <c r="A5" t="s">
        <v>4</v>
      </c>
      <c r="B5">
        <v>0.25732112694281123</v>
      </c>
      <c r="C5">
        <v>7.4271123209791623E-2</v>
      </c>
      <c r="E5" s="2" t="s">
        <v>4</v>
      </c>
      <c r="F5" s="2">
        <v>28</v>
      </c>
      <c r="G5" s="10" t="s">
        <v>97</v>
      </c>
      <c r="H5" s="8" t="s">
        <v>100</v>
      </c>
      <c r="I5" t="s">
        <v>97</v>
      </c>
      <c r="M5" t="s">
        <v>15</v>
      </c>
      <c r="N5">
        <v>0.74284670099461292</v>
      </c>
      <c r="O5">
        <v>2.1084452216775921E-5</v>
      </c>
      <c r="Q5" s="2" t="s">
        <v>15</v>
      </c>
      <c r="R5" s="2">
        <v>22</v>
      </c>
      <c r="S5" s="10" t="s">
        <v>97</v>
      </c>
      <c r="T5" s="8" t="s">
        <v>100</v>
      </c>
    </row>
    <row r="6" spans="1:20" x14ac:dyDescent="0.35">
      <c r="A6" t="s">
        <v>9</v>
      </c>
      <c r="B6">
        <v>0.18497200108784331</v>
      </c>
      <c r="C6">
        <v>0.35565915858744968</v>
      </c>
      <c r="E6" s="2" t="s">
        <v>9</v>
      </c>
      <c r="F6" s="2">
        <v>8</v>
      </c>
      <c r="G6" s="10" t="s">
        <v>97</v>
      </c>
      <c r="H6" s="8" t="s">
        <v>100</v>
      </c>
      <c r="I6" t="s">
        <v>97</v>
      </c>
      <c r="M6" t="s">
        <v>21</v>
      </c>
      <c r="N6">
        <v>0.73065799674981102</v>
      </c>
      <c r="O6">
        <v>2.0284756340284919E-16</v>
      </c>
      <c r="Q6" s="2" t="s">
        <v>21</v>
      </c>
      <c r="R6" s="2">
        <v>59</v>
      </c>
      <c r="S6" s="5" t="s">
        <v>103</v>
      </c>
      <c r="T6" s="8" t="s">
        <v>100</v>
      </c>
    </row>
    <row r="7" spans="1:20" x14ac:dyDescent="0.35">
      <c r="A7" t="s">
        <v>7</v>
      </c>
      <c r="B7">
        <v>0.69932880464517466</v>
      </c>
      <c r="C7">
        <v>4.0432031238914308E-9</v>
      </c>
      <c r="E7" s="2" t="s">
        <v>7</v>
      </c>
      <c r="F7" s="2">
        <v>24</v>
      </c>
      <c r="G7" s="11" t="s">
        <v>101</v>
      </c>
      <c r="H7" s="8" t="s">
        <v>100</v>
      </c>
      <c r="I7" t="s">
        <v>101</v>
      </c>
    </row>
    <row r="8" spans="1:20" x14ac:dyDescent="0.35">
      <c r="A8" t="s">
        <v>17</v>
      </c>
      <c r="B8">
        <v>0.55364262710357581</v>
      </c>
      <c r="C8">
        <v>3.6850187073103388E-5</v>
      </c>
      <c r="E8" s="2" t="s">
        <v>17</v>
      </c>
      <c r="F8" s="2">
        <v>17</v>
      </c>
      <c r="G8" s="11" t="s">
        <v>101</v>
      </c>
      <c r="H8" s="8" t="s">
        <v>100</v>
      </c>
      <c r="I8" t="s">
        <v>101</v>
      </c>
    </row>
    <row r="9" spans="1:20" x14ac:dyDescent="0.35">
      <c r="A9" t="s">
        <v>25</v>
      </c>
      <c r="B9">
        <v>0.52254007054941809</v>
      </c>
      <c r="C9">
        <v>5.4242520495554887E-4</v>
      </c>
      <c r="E9" s="2" t="s">
        <v>25</v>
      </c>
      <c r="F9" s="2">
        <v>21</v>
      </c>
      <c r="G9" s="12" t="s">
        <v>105</v>
      </c>
      <c r="H9" s="4" t="s">
        <v>99</v>
      </c>
      <c r="I9" t="s">
        <v>101</v>
      </c>
    </row>
    <row r="10" spans="1:20" x14ac:dyDescent="0.35">
      <c r="A10" t="s">
        <v>14</v>
      </c>
      <c r="B10">
        <v>0.46835172471922765</v>
      </c>
      <c r="C10">
        <v>1.8211812623558553E-2</v>
      </c>
      <c r="E10" s="2" t="s">
        <v>14</v>
      </c>
      <c r="F10" s="2">
        <v>26</v>
      </c>
      <c r="G10" s="11" t="s">
        <v>101</v>
      </c>
      <c r="H10" s="8" t="s">
        <v>100</v>
      </c>
      <c r="I10" t="s">
        <v>101</v>
      </c>
    </row>
    <row r="11" spans="1:20" x14ac:dyDescent="0.35">
      <c r="A11" t="s">
        <v>19</v>
      </c>
      <c r="B11">
        <v>0.26747909010953819</v>
      </c>
      <c r="C11">
        <v>0.18649271783136245</v>
      </c>
      <c r="E11" s="14" t="s">
        <v>19</v>
      </c>
      <c r="F11" s="2">
        <v>44</v>
      </c>
      <c r="G11" s="16" t="s">
        <v>101</v>
      </c>
      <c r="H11" s="4" t="s">
        <v>99</v>
      </c>
      <c r="I11" t="s">
        <v>101</v>
      </c>
      <c r="M11" t="s">
        <v>9</v>
      </c>
      <c r="N11">
        <v>0.18497200108784331</v>
      </c>
      <c r="O11">
        <v>0.35565915858744968</v>
      </c>
      <c r="Q11" s="2" t="s">
        <v>9</v>
      </c>
      <c r="R11" s="2">
        <v>8</v>
      </c>
      <c r="S11" s="10" t="s">
        <v>97</v>
      </c>
      <c r="T11" s="8" t="s">
        <v>100</v>
      </c>
    </row>
    <row r="12" spans="1:20" x14ac:dyDescent="0.35">
      <c r="A12" t="s">
        <v>18</v>
      </c>
      <c r="B12">
        <v>0.1968166624221975</v>
      </c>
      <c r="C12">
        <v>0.17998557724530595</v>
      </c>
      <c r="E12" s="2" t="s">
        <v>18</v>
      </c>
      <c r="F12" s="2">
        <v>17</v>
      </c>
      <c r="G12" s="16" t="s">
        <v>116</v>
      </c>
      <c r="H12" s="7" t="s">
        <v>96</v>
      </c>
      <c r="I12" t="s">
        <v>101</v>
      </c>
      <c r="M12" t="s">
        <v>24</v>
      </c>
      <c r="N12">
        <v>9.6844907823554663E-2</v>
      </c>
      <c r="O12">
        <v>0.59799674759248733</v>
      </c>
      <c r="Q12" s="2" t="s">
        <v>24</v>
      </c>
      <c r="R12" s="2">
        <v>17</v>
      </c>
      <c r="S12" s="3" t="s">
        <v>104</v>
      </c>
      <c r="T12" s="4" t="s">
        <v>99</v>
      </c>
    </row>
    <row r="13" spans="1:20" x14ac:dyDescent="0.35">
      <c r="A13" t="s">
        <v>12</v>
      </c>
      <c r="B13">
        <v>0.77120497716272807</v>
      </c>
      <c r="C13">
        <v>1.5609115725846041E-6</v>
      </c>
      <c r="E13" s="2" t="s">
        <v>12</v>
      </c>
      <c r="F13" s="2">
        <v>12</v>
      </c>
      <c r="G13" s="15" t="s">
        <v>115</v>
      </c>
      <c r="I13" t="s">
        <v>199</v>
      </c>
      <c r="M13" t="s">
        <v>20</v>
      </c>
      <c r="N13">
        <v>7.3861545257493902E-2</v>
      </c>
      <c r="O13">
        <v>0.72567809802143213</v>
      </c>
      <c r="Q13" s="14" t="s">
        <v>20</v>
      </c>
      <c r="R13" s="2">
        <v>17</v>
      </c>
      <c r="S13" s="15" t="s">
        <v>115</v>
      </c>
    </row>
    <row r="14" spans="1:20" x14ac:dyDescent="0.35">
      <c r="A14" t="s">
        <v>13</v>
      </c>
      <c r="B14">
        <v>0.59566799193100994</v>
      </c>
      <c r="C14">
        <v>1.6066562885391842E-6</v>
      </c>
      <c r="E14" s="2" t="s">
        <v>13</v>
      </c>
      <c r="F14" s="2">
        <v>6</v>
      </c>
      <c r="G14" s="15" t="s">
        <v>115</v>
      </c>
      <c r="I14" t="s">
        <v>199</v>
      </c>
    </row>
    <row r="15" spans="1:20" x14ac:dyDescent="0.35">
      <c r="A15" t="s">
        <v>48</v>
      </c>
      <c r="B15">
        <v>0.34064134153336056</v>
      </c>
      <c r="C15">
        <v>7.6094889058808873E-2</v>
      </c>
      <c r="E15" s="14" t="s">
        <v>48</v>
      </c>
      <c r="F15" s="2">
        <v>6</v>
      </c>
      <c r="G15" s="15" t="s">
        <v>117</v>
      </c>
      <c r="H15" s="8" t="s">
        <v>100</v>
      </c>
      <c r="I15" t="s">
        <v>199</v>
      </c>
    </row>
    <row r="16" spans="1:20" x14ac:dyDescent="0.35">
      <c r="A16" t="s">
        <v>24</v>
      </c>
      <c r="B16">
        <v>9.6844907823554663E-2</v>
      </c>
      <c r="C16">
        <v>0.59799674759248733</v>
      </c>
      <c r="E16" s="2" t="s">
        <v>24</v>
      </c>
      <c r="F16" s="2">
        <v>17</v>
      </c>
      <c r="G16" s="3" t="s">
        <v>104</v>
      </c>
      <c r="H16" s="4" t="s">
        <v>99</v>
      </c>
      <c r="I16" t="s">
        <v>199</v>
      </c>
    </row>
    <row r="17" spans="1:16" x14ac:dyDescent="0.35">
      <c r="A17" t="s">
        <v>20</v>
      </c>
      <c r="B17">
        <v>7.3861545257493902E-2</v>
      </c>
      <c r="C17">
        <v>0.72567809802143213</v>
      </c>
      <c r="E17" s="14" t="s">
        <v>20</v>
      </c>
      <c r="F17" s="2">
        <v>17</v>
      </c>
      <c r="G17" s="15" t="s">
        <v>115</v>
      </c>
      <c r="I17" t="s">
        <v>199</v>
      </c>
      <c r="N17" t="s">
        <v>202</v>
      </c>
    </row>
    <row r="18" spans="1:16" x14ac:dyDescent="0.35">
      <c r="A18" t="s">
        <v>6</v>
      </c>
      <c r="B18">
        <v>0.69271809932643524</v>
      </c>
      <c r="C18">
        <v>1.0888930552097802E-12</v>
      </c>
      <c r="E18" s="2" t="s">
        <v>6</v>
      </c>
      <c r="F18" s="2">
        <v>20</v>
      </c>
      <c r="G18" s="9" t="s">
        <v>98</v>
      </c>
      <c r="H18" s="4" t="s">
        <v>99</v>
      </c>
      <c r="I18" t="s">
        <v>198</v>
      </c>
      <c r="M18" t="s">
        <v>93</v>
      </c>
      <c r="N18" t="s">
        <v>26</v>
      </c>
      <c r="O18" t="s">
        <v>158</v>
      </c>
      <c r="P18" t="s">
        <v>201</v>
      </c>
    </row>
    <row r="19" spans="1:16" x14ac:dyDescent="0.35">
      <c r="A19" t="s">
        <v>8</v>
      </c>
      <c r="B19">
        <v>0.90022356650050417</v>
      </c>
      <c r="C19">
        <v>2.3430301718470719E-12</v>
      </c>
      <c r="E19" s="2" t="s">
        <v>8</v>
      </c>
      <c r="F19" s="2">
        <v>51</v>
      </c>
      <c r="G19" s="9" t="s">
        <v>98</v>
      </c>
      <c r="H19" s="4" t="s">
        <v>99</v>
      </c>
      <c r="I19" t="s">
        <v>198</v>
      </c>
      <c r="M19" t="s">
        <v>200</v>
      </c>
      <c r="N19">
        <v>0.74284670099461292</v>
      </c>
      <c r="O19" s="1">
        <v>2.1084452216775921E-5</v>
      </c>
      <c r="P19">
        <v>5</v>
      </c>
    </row>
    <row r="20" spans="1:16" x14ac:dyDescent="0.35">
      <c r="A20" t="s">
        <v>23</v>
      </c>
      <c r="B20">
        <v>0.6272343897510948</v>
      </c>
      <c r="C20">
        <v>6.500308935270084E-7</v>
      </c>
      <c r="E20" s="2" t="s">
        <v>23</v>
      </c>
      <c r="F20" s="2">
        <v>32</v>
      </c>
      <c r="G20" s="6" t="s">
        <v>95</v>
      </c>
      <c r="H20" s="4" t="s">
        <v>99</v>
      </c>
      <c r="I20" t="s">
        <v>198</v>
      </c>
      <c r="M20" t="s">
        <v>101</v>
      </c>
      <c r="N20">
        <v>0.52254007054941809</v>
      </c>
      <c r="O20" s="1">
        <v>5.4242520495554887E-4</v>
      </c>
      <c r="P20">
        <v>5</v>
      </c>
    </row>
    <row r="21" spans="1:16" x14ac:dyDescent="0.35">
      <c r="A21" t="s">
        <v>3</v>
      </c>
      <c r="B21">
        <v>0.56540195582072283</v>
      </c>
      <c r="C21">
        <v>1.3780762556248623E-6</v>
      </c>
      <c r="E21" s="2" t="s">
        <v>3</v>
      </c>
      <c r="F21" s="2">
        <v>52</v>
      </c>
      <c r="G21" s="9" t="s">
        <v>98</v>
      </c>
      <c r="H21" s="4" t="s">
        <v>99</v>
      </c>
      <c r="I21" t="s">
        <v>198</v>
      </c>
      <c r="M21" t="s">
        <v>198</v>
      </c>
      <c r="N21">
        <v>0.74666121244525252</v>
      </c>
      <c r="O21" s="1">
        <v>2.1540174358524407E-6</v>
      </c>
      <c r="P21">
        <v>9</v>
      </c>
    </row>
    <row r="22" spans="1:16" x14ac:dyDescent="0.35">
      <c r="A22" t="s">
        <v>10</v>
      </c>
      <c r="B22">
        <v>0.74666121244525252</v>
      </c>
      <c r="C22">
        <v>2.1540174358524407E-6</v>
      </c>
      <c r="E22" s="2" t="s">
        <v>10</v>
      </c>
      <c r="F22" s="2">
        <v>37</v>
      </c>
      <c r="G22" s="9" t="s">
        <v>102</v>
      </c>
      <c r="H22" s="4" t="s">
        <v>99</v>
      </c>
      <c r="I22" t="s">
        <v>198</v>
      </c>
      <c r="M22" t="s">
        <v>103</v>
      </c>
      <c r="N22">
        <v>0.73065799674981102</v>
      </c>
      <c r="O22" s="1">
        <v>2.0284756340284919E-16</v>
      </c>
      <c r="P22">
        <v>1</v>
      </c>
    </row>
    <row r="23" spans="1:16" x14ac:dyDescent="0.35">
      <c r="A23" t="s">
        <v>22</v>
      </c>
      <c r="B23">
        <v>0.5859738748411697</v>
      </c>
      <c r="C23">
        <v>3.2369858620406693E-6</v>
      </c>
      <c r="E23" s="2" t="s">
        <v>22</v>
      </c>
      <c r="F23" s="2">
        <v>17</v>
      </c>
      <c r="G23" s="6" t="s">
        <v>95</v>
      </c>
      <c r="H23" s="4" t="s">
        <v>99</v>
      </c>
      <c r="I23" t="s">
        <v>198</v>
      </c>
    </row>
    <row r="24" spans="1:16" x14ac:dyDescent="0.35">
      <c r="A24" t="s">
        <v>16</v>
      </c>
      <c r="B24">
        <v>0.64685231634698115</v>
      </c>
      <c r="C24">
        <v>3.5560224559101026E-4</v>
      </c>
      <c r="E24" s="2" t="s">
        <v>16</v>
      </c>
      <c r="F24" s="2">
        <v>33</v>
      </c>
      <c r="G24" s="17" t="s">
        <v>114</v>
      </c>
      <c r="H24" s="4" t="s">
        <v>99</v>
      </c>
      <c r="I24" t="s">
        <v>198</v>
      </c>
    </row>
    <row r="25" spans="1:16" x14ac:dyDescent="0.35">
      <c r="A25" t="s">
        <v>1</v>
      </c>
      <c r="B25">
        <v>0.4094335507071904</v>
      </c>
      <c r="C25">
        <v>7.8552623158357794E-3</v>
      </c>
      <c r="E25" s="2" t="s">
        <v>1</v>
      </c>
      <c r="F25" s="2">
        <v>40</v>
      </c>
      <c r="G25" s="6" t="s">
        <v>95</v>
      </c>
      <c r="H25" s="7" t="s">
        <v>96</v>
      </c>
      <c r="I25" t="s">
        <v>198</v>
      </c>
      <c r="N25" t="s">
        <v>209</v>
      </c>
      <c r="O25" t="s">
        <v>208</v>
      </c>
    </row>
    <row r="26" spans="1:16" x14ac:dyDescent="0.35">
      <c r="A26" t="s">
        <v>11</v>
      </c>
      <c r="B26">
        <v>0.50068038947602911</v>
      </c>
      <c r="C26">
        <v>9.1830891049663431E-3</v>
      </c>
      <c r="E26" s="2" t="s">
        <v>11</v>
      </c>
      <c r="F26" s="2">
        <v>33</v>
      </c>
      <c r="G26" s="6" t="s">
        <v>95</v>
      </c>
      <c r="H26" s="7" t="s">
        <v>96</v>
      </c>
      <c r="I26" t="s">
        <v>198</v>
      </c>
    </row>
    <row r="27" spans="1:16" x14ac:dyDescent="0.35">
      <c r="A27" t="s">
        <v>21</v>
      </c>
      <c r="B27">
        <v>0.73065799674981102</v>
      </c>
      <c r="C27">
        <v>2.0284756340284919E-16</v>
      </c>
      <c r="E27" s="2" t="s">
        <v>21</v>
      </c>
      <c r="F27" s="2">
        <v>59</v>
      </c>
      <c r="G27" s="5" t="s">
        <v>103</v>
      </c>
      <c r="H27" s="8" t="s">
        <v>100</v>
      </c>
      <c r="I27" t="s">
        <v>103</v>
      </c>
      <c r="N27">
        <f>(B3*B4*B5*B6*B2)^(1/5)</f>
        <v>0.42992525363275336</v>
      </c>
      <c r="O27">
        <f>(C3*C4*C5*C6*C2)^(1/5)</f>
        <v>4.3428379261360202E-4</v>
      </c>
      <c r="P27" s="30">
        <f>-LOG10(O27)</f>
        <v>3.3622263781206629</v>
      </c>
    </row>
    <row r="28" spans="1:16" x14ac:dyDescent="0.35">
      <c r="N28">
        <f>(B8*B9*B10*B11*B12*B7*B27)^(1/7)</f>
        <v>0.44840136809021958</v>
      </c>
      <c r="O28">
        <f>(C8*C9*C10*C11*C12*C7*C27)^(1/7)</f>
        <v>1.0003051952931265E-5</v>
      </c>
      <c r="P28" s="30">
        <f t="shared" ref="P28:P29" si="0">-LOG10(O28)</f>
        <v>4.9998674755901771</v>
      </c>
    </row>
    <row r="29" spans="1:16" x14ac:dyDescent="0.35">
      <c r="N29">
        <f>(B18*B19*B20*B21*B22*B23*B24*B25*B26)^(1/9)</f>
        <v>0.61631822180639806</v>
      </c>
      <c r="O29">
        <f>(C18*C19*C20*C21*C22*C23*C24*C25*C26)^(1/9)</f>
        <v>9.0537914047762989E-7</v>
      </c>
      <c r="P29" s="30">
        <f t="shared" si="0"/>
        <v>6.0431695156722434</v>
      </c>
    </row>
  </sheetData>
  <sortState xmlns:xlrd2="http://schemas.microsoft.com/office/spreadsheetml/2017/richdata2" ref="A13:I17">
    <sortCondition ref="C13:C17"/>
  </sortState>
  <conditionalFormatting sqref="F2:F27">
    <cfRule type="colorScale" priority="1">
      <colorScale>
        <cfvo type="min"/>
        <cfvo type="max"/>
        <color rgb="FFFCFCFF"/>
        <color theme="8" tint="-0.249977111117893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27"/>
  <sheetViews>
    <sheetView workbookViewId="0">
      <selection activeCell="M2" sqref="M2:O6"/>
    </sheetView>
  </sheetViews>
  <sheetFormatPr defaultRowHeight="14.5" x14ac:dyDescent="0.35"/>
  <cols>
    <col min="1" max="1" width="14.453125" customWidth="1"/>
    <col min="2" max="2" width="14.36328125" customWidth="1"/>
    <col min="3" max="3" width="15.7265625" customWidth="1"/>
    <col min="19" max="19" width="20.453125" bestFit="1" customWidth="1"/>
  </cols>
  <sheetData>
    <row r="1" spans="1:20" ht="43.5" x14ac:dyDescent="0.35">
      <c r="A1" t="s">
        <v>57</v>
      </c>
      <c r="B1" t="s">
        <v>78</v>
      </c>
      <c r="C1" t="s">
        <v>79</v>
      </c>
      <c r="E1" s="13" t="s">
        <v>112</v>
      </c>
      <c r="F1" s="13" t="s">
        <v>113</v>
      </c>
      <c r="G1" s="13" t="s">
        <v>93</v>
      </c>
      <c r="H1" s="13" t="s">
        <v>94</v>
      </c>
      <c r="K1" s="13"/>
      <c r="L1" s="13"/>
      <c r="M1" t="s">
        <v>0</v>
      </c>
      <c r="N1" t="s">
        <v>26</v>
      </c>
      <c r="O1" t="s">
        <v>27</v>
      </c>
      <c r="Q1" s="13" t="s">
        <v>112</v>
      </c>
      <c r="R1" s="13" t="s">
        <v>113</v>
      </c>
      <c r="S1" s="13" t="s">
        <v>93</v>
      </c>
      <c r="T1" s="13" t="s">
        <v>94</v>
      </c>
    </row>
    <row r="2" spans="1:20" x14ac:dyDescent="0.35">
      <c r="A2" t="s">
        <v>68</v>
      </c>
      <c r="B2">
        <v>0.66206384871145352</v>
      </c>
      <c r="C2">
        <v>2.2951635069335186E-4</v>
      </c>
      <c r="E2" s="2" t="s">
        <v>16</v>
      </c>
      <c r="F2" s="2">
        <v>33</v>
      </c>
      <c r="G2" s="17" t="s">
        <v>114</v>
      </c>
      <c r="H2" s="4" t="s">
        <v>99</v>
      </c>
      <c r="K2" s="2"/>
      <c r="L2" s="2"/>
      <c r="M2" t="s">
        <v>16</v>
      </c>
      <c r="N2">
        <v>0.66206384871145352</v>
      </c>
      <c r="O2">
        <v>2.2951635069335186E-4</v>
      </c>
      <c r="Q2" s="2" t="s">
        <v>16</v>
      </c>
      <c r="R2" s="2">
        <v>33</v>
      </c>
      <c r="S2" s="17" t="s">
        <v>114</v>
      </c>
      <c r="T2" s="4" t="s">
        <v>99</v>
      </c>
    </row>
    <row r="3" spans="1:20" x14ac:dyDescent="0.35">
      <c r="A3" t="s">
        <v>62</v>
      </c>
      <c r="B3">
        <v>0.46581824623736523</v>
      </c>
      <c r="C3">
        <v>7.212029630346512E-3</v>
      </c>
      <c r="E3" s="2" t="s">
        <v>5</v>
      </c>
      <c r="F3" s="2">
        <v>28</v>
      </c>
      <c r="G3" s="10" t="s">
        <v>97</v>
      </c>
      <c r="H3" s="8" t="s">
        <v>100</v>
      </c>
      <c r="K3" s="2"/>
      <c r="L3" s="2"/>
      <c r="M3" t="s">
        <v>5</v>
      </c>
      <c r="N3">
        <v>0.46581824623736523</v>
      </c>
      <c r="O3">
        <v>7.212029630346512E-3</v>
      </c>
      <c r="Q3" s="2" t="s">
        <v>5</v>
      </c>
      <c r="R3" s="2">
        <v>28</v>
      </c>
      <c r="S3" s="10" t="s">
        <v>97</v>
      </c>
      <c r="T3" s="8" t="s">
        <v>100</v>
      </c>
    </row>
    <row r="4" spans="1:20" x14ac:dyDescent="0.35">
      <c r="A4" t="s">
        <v>74</v>
      </c>
      <c r="B4">
        <v>0.46338540762702812</v>
      </c>
      <c r="C4">
        <v>4.1760394591432208E-4</v>
      </c>
      <c r="E4" s="2" t="s">
        <v>22</v>
      </c>
      <c r="F4" s="2">
        <v>17</v>
      </c>
      <c r="G4" s="6" t="s">
        <v>95</v>
      </c>
      <c r="H4" s="4" t="s">
        <v>99</v>
      </c>
      <c r="K4" s="2"/>
      <c r="L4" s="2"/>
      <c r="M4" t="s">
        <v>22</v>
      </c>
      <c r="N4">
        <v>0.46338540762702812</v>
      </c>
      <c r="O4">
        <v>4.1760394591432208E-4</v>
      </c>
      <c r="Q4" s="2" t="s">
        <v>22</v>
      </c>
      <c r="R4" s="2">
        <v>17</v>
      </c>
      <c r="S4" s="6" t="s">
        <v>95</v>
      </c>
      <c r="T4" s="4" t="s">
        <v>99</v>
      </c>
    </row>
    <row r="5" spans="1:20" x14ac:dyDescent="0.35">
      <c r="A5" t="s">
        <v>75</v>
      </c>
      <c r="B5">
        <v>0.44480792204877334</v>
      </c>
      <c r="C5">
        <v>9.5358582330416742E-4</v>
      </c>
      <c r="E5" s="2" t="s">
        <v>23</v>
      </c>
      <c r="F5" s="2">
        <v>32</v>
      </c>
      <c r="G5" s="6" t="s">
        <v>95</v>
      </c>
      <c r="H5" s="4" t="s">
        <v>99</v>
      </c>
      <c r="K5" s="2"/>
      <c r="L5" s="2"/>
      <c r="M5" t="s">
        <v>23</v>
      </c>
      <c r="N5">
        <v>0.44480792204877334</v>
      </c>
      <c r="O5">
        <v>9.5358582330416742E-4</v>
      </c>
      <c r="Q5" s="2" t="s">
        <v>23</v>
      </c>
      <c r="R5" s="2">
        <v>32</v>
      </c>
      <c r="S5" s="6" t="s">
        <v>95</v>
      </c>
      <c r="T5" s="4" t="s">
        <v>99</v>
      </c>
    </row>
    <row r="6" spans="1:20" x14ac:dyDescent="0.35">
      <c r="A6" t="s">
        <v>65</v>
      </c>
      <c r="B6">
        <v>0.42911531876202774</v>
      </c>
      <c r="C6">
        <v>1.4255673011775423E-2</v>
      </c>
      <c r="E6" s="2" t="s">
        <v>8</v>
      </c>
      <c r="F6" s="2">
        <v>51</v>
      </c>
      <c r="G6" s="9" t="s">
        <v>98</v>
      </c>
      <c r="H6" s="4" t="s">
        <v>99</v>
      </c>
      <c r="K6" s="2"/>
      <c r="L6" s="2"/>
      <c r="M6" t="s">
        <v>8</v>
      </c>
      <c r="N6">
        <v>0.42911531876202774</v>
      </c>
      <c r="O6">
        <v>1.4255673011775423E-2</v>
      </c>
      <c r="Q6" s="2" t="s">
        <v>8</v>
      </c>
      <c r="R6" s="2">
        <v>51</v>
      </c>
      <c r="S6" s="9" t="s">
        <v>98</v>
      </c>
      <c r="T6" s="4" t="s">
        <v>99</v>
      </c>
    </row>
    <row r="7" spans="1:20" x14ac:dyDescent="0.35">
      <c r="A7" t="s">
        <v>63</v>
      </c>
      <c r="B7">
        <v>0.40367549994367241</v>
      </c>
      <c r="C7">
        <v>2.047474853895117E-4</v>
      </c>
      <c r="E7" s="2" t="s">
        <v>6</v>
      </c>
      <c r="F7" s="2">
        <v>20</v>
      </c>
      <c r="G7" s="9" t="s">
        <v>98</v>
      </c>
      <c r="H7" s="4" t="s">
        <v>99</v>
      </c>
      <c r="K7" s="2"/>
      <c r="L7" s="2"/>
    </row>
    <row r="8" spans="1:20" x14ac:dyDescent="0.35">
      <c r="A8" t="s">
        <v>71</v>
      </c>
      <c r="B8">
        <v>0.33493073750871039</v>
      </c>
      <c r="C8">
        <v>9.4419572003642843E-2</v>
      </c>
      <c r="E8" s="14" t="s">
        <v>19</v>
      </c>
      <c r="F8" s="2">
        <v>44</v>
      </c>
      <c r="G8" s="16" t="s">
        <v>101</v>
      </c>
      <c r="H8" s="4" t="s">
        <v>99</v>
      </c>
      <c r="K8" s="2"/>
      <c r="L8" s="2"/>
    </row>
    <row r="9" spans="1:20" x14ac:dyDescent="0.35">
      <c r="A9" t="s">
        <v>58</v>
      </c>
      <c r="B9">
        <v>0.29861642938085631</v>
      </c>
      <c r="C9">
        <v>5.7897761179645922E-2</v>
      </c>
      <c r="E9" s="2" t="s">
        <v>1</v>
      </c>
      <c r="F9" s="2">
        <v>40</v>
      </c>
      <c r="G9" s="6" t="s">
        <v>95</v>
      </c>
      <c r="H9" s="7" t="s">
        <v>96</v>
      </c>
      <c r="K9" s="2"/>
      <c r="L9" s="2"/>
      <c r="M9" t="s">
        <v>25</v>
      </c>
      <c r="N9">
        <v>-0.12061158655887994</v>
      </c>
      <c r="O9">
        <v>0.45848819053735868</v>
      </c>
      <c r="Q9" s="2" t="s">
        <v>25</v>
      </c>
      <c r="R9" s="2">
        <v>21</v>
      </c>
      <c r="S9" s="12" t="s">
        <v>105</v>
      </c>
      <c r="T9" s="4" t="s">
        <v>99</v>
      </c>
    </row>
    <row r="10" spans="1:20" x14ac:dyDescent="0.35">
      <c r="A10" t="s">
        <v>67</v>
      </c>
      <c r="B10">
        <v>0.22726025548507586</v>
      </c>
      <c r="C10">
        <v>0.26420788515978488</v>
      </c>
      <c r="E10" s="2" t="s">
        <v>11</v>
      </c>
      <c r="F10" s="2">
        <v>33</v>
      </c>
      <c r="G10" s="6" t="s">
        <v>95</v>
      </c>
      <c r="H10" s="7" t="s">
        <v>96</v>
      </c>
      <c r="K10" s="2"/>
      <c r="L10" s="2"/>
      <c r="M10" t="s">
        <v>24</v>
      </c>
      <c r="N10">
        <v>3.1057158081151611E-2</v>
      </c>
      <c r="O10">
        <v>0.86600393374378659</v>
      </c>
      <c r="Q10" s="2" t="s">
        <v>24</v>
      </c>
      <c r="R10" s="2">
        <v>17</v>
      </c>
      <c r="S10" s="3" t="s">
        <v>104</v>
      </c>
      <c r="T10" s="4" t="s">
        <v>99</v>
      </c>
    </row>
    <row r="11" spans="1:20" x14ac:dyDescent="0.35">
      <c r="A11" t="s">
        <v>73</v>
      </c>
      <c r="B11">
        <v>0.20740353454156624</v>
      </c>
      <c r="C11">
        <v>4.8534376773057518E-2</v>
      </c>
      <c r="E11" s="2" t="s">
        <v>21</v>
      </c>
      <c r="F11" s="2">
        <v>59</v>
      </c>
      <c r="G11" s="5" t="s">
        <v>103</v>
      </c>
      <c r="H11" s="8" t="s">
        <v>100</v>
      </c>
      <c r="K11" s="2"/>
      <c r="L11" s="2"/>
      <c r="M11" t="s">
        <v>20</v>
      </c>
      <c r="N11">
        <v>-1.0646841021922811E-2</v>
      </c>
      <c r="O11">
        <v>0.95971592846201348</v>
      </c>
      <c r="Q11" s="14" t="s">
        <v>20</v>
      </c>
      <c r="R11" s="2">
        <v>17</v>
      </c>
      <c r="S11" s="15" t="s">
        <v>115</v>
      </c>
    </row>
    <row r="12" spans="1:20" x14ac:dyDescent="0.35">
      <c r="A12" t="s">
        <v>61</v>
      </c>
      <c r="B12">
        <v>0.20179090588339091</v>
      </c>
      <c r="C12">
        <v>0.16440073195549254</v>
      </c>
      <c r="E12" s="2" t="s">
        <v>4</v>
      </c>
      <c r="F12" s="2">
        <v>28</v>
      </c>
      <c r="G12" s="10" t="s">
        <v>97</v>
      </c>
      <c r="H12" s="8" t="s">
        <v>100</v>
      </c>
      <c r="K12" s="2"/>
      <c r="L12" s="2"/>
    </row>
    <row r="13" spans="1:20" x14ac:dyDescent="0.35">
      <c r="A13" t="s">
        <v>66</v>
      </c>
      <c r="B13">
        <v>0.18968659344624292</v>
      </c>
      <c r="C13">
        <v>0.31539685178988919</v>
      </c>
      <c r="E13" s="2" t="s">
        <v>10</v>
      </c>
      <c r="F13" s="2">
        <v>37</v>
      </c>
      <c r="G13" s="9" t="s">
        <v>102</v>
      </c>
      <c r="H13" s="4" t="s">
        <v>99</v>
      </c>
      <c r="K13" s="2"/>
      <c r="L13" s="2"/>
      <c r="M13" s="15"/>
    </row>
    <row r="14" spans="1:20" x14ac:dyDescent="0.35">
      <c r="A14" t="s">
        <v>60</v>
      </c>
      <c r="B14">
        <v>0.18677812467498336</v>
      </c>
      <c r="C14">
        <v>0.14271598004216213</v>
      </c>
      <c r="E14" s="2" t="s">
        <v>3</v>
      </c>
      <c r="F14" s="2">
        <v>52</v>
      </c>
      <c r="G14" s="9" t="s">
        <v>98</v>
      </c>
      <c r="H14" s="4" t="s">
        <v>99</v>
      </c>
      <c r="K14" s="2"/>
      <c r="L14" s="2"/>
      <c r="M14" s="15"/>
    </row>
    <row r="15" spans="1:20" x14ac:dyDescent="0.35">
      <c r="A15" t="s">
        <v>69</v>
      </c>
      <c r="B15">
        <v>0.1831961607293216</v>
      </c>
      <c r="C15">
        <v>0.20768263875563242</v>
      </c>
      <c r="E15" s="2" t="s">
        <v>17</v>
      </c>
      <c r="F15" s="2">
        <v>17</v>
      </c>
      <c r="G15" s="11" t="s">
        <v>101</v>
      </c>
      <c r="H15" s="8" t="s">
        <v>100</v>
      </c>
      <c r="K15" s="2"/>
      <c r="L15" s="2"/>
    </row>
    <row r="16" spans="1:20" x14ac:dyDescent="0.35">
      <c r="A16" t="s">
        <v>59</v>
      </c>
      <c r="B16">
        <v>0.12416443247048677</v>
      </c>
      <c r="C16">
        <v>0.38048791107365887</v>
      </c>
      <c r="E16" s="2" t="s">
        <v>2</v>
      </c>
      <c r="F16" s="2">
        <v>24</v>
      </c>
      <c r="G16" s="10" t="s">
        <v>97</v>
      </c>
      <c r="H16" s="7" t="s">
        <v>96</v>
      </c>
      <c r="K16" s="2"/>
      <c r="L16" s="2"/>
    </row>
    <row r="17" spans="1:13" x14ac:dyDescent="0.35">
      <c r="A17" t="s">
        <v>70</v>
      </c>
      <c r="B17">
        <v>0.11007436492313762</v>
      </c>
      <c r="C17">
        <v>0.45640304827502742</v>
      </c>
      <c r="E17" s="2" t="s">
        <v>18</v>
      </c>
      <c r="F17" s="2">
        <v>17</v>
      </c>
      <c r="G17" s="16" t="s">
        <v>116</v>
      </c>
      <c r="H17" s="7" t="s">
        <v>96</v>
      </c>
      <c r="K17" s="2"/>
      <c r="L17" s="2"/>
      <c r="M17" s="15"/>
    </row>
    <row r="18" spans="1:13" x14ac:dyDescent="0.35">
      <c r="A18" t="s">
        <v>64</v>
      </c>
      <c r="B18">
        <v>0.10412794082032674</v>
      </c>
      <c r="C18">
        <v>0.45366613041812964</v>
      </c>
      <c r="E18" s="2" t="s">
        <v>7</v>
      </c>
      <c r="F18" s="2">
        <v>24</v>
      </c>
      <c r="G18" s="11" t="s">
        <v>101</v>
      </c>
      <c r="H18" s="8" t="s">
        <v>100</v>
      </c>
      <c r="K18" s="2"/>
      <c r="L18" s="2"/>
    </row>
    <row r="19" spans="1:13" x14ac:dyDescent="0.35">
      <c r="A19" t="s">
        <v>76</v>
      </c>
      <c r="B19">
        <v>3.1057158081151611E-2</v>
      </c>
      <c r="C19">
        <v>0.86600393374378659</v>
      </c>
      <c r="E19" s="2" t="s">
        <v>24</v>
      </c>
      <c r="F19" s="2">
        <v>17</v>
      </c>
      <c r="G19" s="3" t="s">
        <v>104</v>
      </c>
      <c r="H19" s="4" t="s">
        <v>99</v>
      </c>
      <c r="K19" s="2"/>
      <c r="L19" s="2"/>
      <c r="M19" s="15"/>
    </row>
    <row r="20" spans="1:13" x14ac:dyDescent="0.35">
      <c r="A20" t="s">
        <v>72</v>
      </c>
      <c r="B20">
        <v>-1.0646841021922811E-2</v>
      </c>
      <c r="C20">
        <v>0.95971592846201348</v>
      </c>
      <c r="E20" s="14" t="s">
        <v>20</v>
      </c>
      <c r="F20" s="2">
        <v>17</v>
      </c>
      <c r="G20" s="15" t="s">
        <v>115</v>
      </c>
      <c r="K20" s="14"/>
      <c r="L20" s="2"/>
      <c r="M20" s="15"/>
    </row>
    <row r="21" spans="1:13" x14ac:dyDescent="0.35">
      <c r="A21" t="s">
        <v>77</v>
      </c>
      <c r="B21">
        <v>-0.12061158655887994</v>
      </c>
      <c r="C21">
        <v>0.45848819053735868</v>
      </c>
      <c r="E21" s="2" t="s">
        <v>25</v>
      </c>
      <c r="F21" s="2">
        <v>21</v>
      </c>
      <c r="G21" s="12" t="s">
        <v>105</v>
      </c>
      <c r="H21" s="4" t="s">
        <v>99</v>
      </c>
      <c r="K21" s="14"/>
      <c r="L21" s="2"/>
      <c r="M21" s="15"/>
    </row>
    <row r="22" spans="1:13" x14ac:dyDescent="0.35">
      <c r="K22" s="14"/>
      <c r="L22" s="2"/>
      <c r="M22" s="15"/>
    </row>
    <row r="23" spans="1:13" x14ac:dyDescent="0.35">
      <c r="K23" s="2"/>
      <c r="L23" s="2"/>
    </row>
    <row r="24" spans="1:13" x14ac:dyDescent="0.35">
      <c r="K24" s="2"/>
      <c r="L24" s="2"/>
    </row>
    <row r="25" spans="1:13" x14ac:dyDescent="0.35">
      <c r="K25" s="2"/>
      <c r="L25" s="2"/>
    </row>
    <row r="26" spans="1:13" x14ac:dyDescent="0.35">
      <c r="K26" s="2"/>
      <c r="L26" s="2"/>
    </row>
    <row r="27" spans="1:13" x14ac:dyDescent="0.35">
      <c r="K27" s="2"/>
      <c r="L27" s="2"/>
    </row>
  </sheetData>
  <sortState xmlns:xlrd2="http://schemas.microsoft.com/office/spreadsheetml/2017/richdata2" ref="A2:H21">
    <sortCondition descending="1" ref="B2:B21"/>
  </sortState>
  <conditionalFormatting sqref="L2:L27">
    <cfRule type="colorScale" priority="7">
      <colorScale>
        <cfvo type="min"/>
        <cfvo type="max"/>
        <color rgb="FFFCFCFF"/>
        <color theme="8" tint="-0.249977111117893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27"/>
  <sheetViews>
    <sheetView workbookViewId="0">
      <selection activeCell="A2" sqref="A2:C10"/>
    </sheetView>
  </sheetViews>
  <sheetFormatPr defaultRowHeight="14.5" x14ac:dyDescent="0.35"/>
  <cols>
    <col min="1" max="1" width="14.453125" customWidth="1"/>
    <col min="2" max="2" width="14.36328125" customWidth="1"/>
    <col min="3" max="4" width="15.36328125" customWidth="1"/>
    <col min="23" max="23" width="20" bestFit="1" customWidth="1"/>
  </cols>
  <sheetData>
    <row r="1" spans="1:24" ht="43.5" x14ac:dyDescent="0.35">
      <c r="A1" t="s">
        <v>80</v>
      </c>
      <c r="B1" t="s">
        <v>90</v>
      </c>
      <c r="C1" t="s">
        <v>91</v>
      </c>
      <c r="E1" s="13" t="s">
        <v>112</v>
      </c>
      <c r="F1" s="13" t="s">
        <v>113</v>
      </c>
      <c r="G1" s="13" t="s">
        <v>93</v>
      </c>
      <c r="H1" s="13" t="s">
        <v>94</v>
      </c>
      <c r="K1" s="13"/>
      <c r="L1" s="13"/>
      <c r="M1" s="13"/>
      <c r="N1" s="13"/>
      <c r="Q1" t="s">
        <v>0</v>
      </c>
      <c r="R1" t="s">
        <v>26</v>
      </c>
      <c r="S1" t="s">
        <v>27</v>
      </c>
      <c r="U1" s="13" t="s">
        <v>112</v>
      </c>
      <c r="V1" s="13" t="s">
        <v>113</v>
      </c>
      <c r="W1" s="13" t="s">
        <v>93</v>
      </c>
      <c r="X1" s="13" t="s">
        <v>94</v>
      </c>
    </row>
    <row r="2" spans="1:24" x14ac:dyDescent="0.35">
      <c r="A2" t="s">
        <v>87</v>
      </c>
      <c r="B2">
        <v>0.54217529539577614</v>
      </c>
      <c r="C2">
        <v>3.3018555743898859E-5</v>
      </c>
      <c r="E2" s="2" t="s">
        <v>23</v>
      </c>
      <c r="F2" s="2">
        <v>32</v>
      </c>
      <c r="G2" s="6" t="s">
        <v>95</v>
      </c>
      <c r="H2" s="4" t="s">
        <v>99</v>
      </c>
      <c r="K2" s="2"/>
      <c r="L2" s="2"/>
      <c r="Q2" t="s">
        <v>23</v>
      </c>
      <c r="R2">
        <v>0.54217529539577614</v>
      </c>
      <c r="S2">
        <v>3.3018555743898859E-5</v>
      </c>
      <c r="U2" s="2" t="s">
        <v>23</v>
      </c>
      <c r="V2" s="2">
        <v>32</v>
      </c>
      <c r="W2" s="6" t="s">
        <v>95</v>
      </c>
      <c r="X2" s="4" t="s">
        <v>99</v>
      </c>
    </row>
    <row r="3" spans="1:24" x14ac:dyDescent="0.35">
      <c r="A3" t="s">
        <v>84</v>
      </c>
      <c r="B3">
        <v>0.33893597194144731</v>
      </c>
      <c r="C3">
        <v>1.7205279829367894E-2</v>
      </c>
      <c r="E3" s="2" t="s">
        <v>17</v>
      </c>
      <c r="F3" s="2">
        <v>17</v>
      </c>
      <c r="G3" s="11" t="s">
        <v>101</v>
      </c>
      <c r="H3" s="8" t="s">
        <v>100</v>
      </c>
      <c r="K3" s="2"/>
      <c r="L3" s="2"/>
      <c r="Q3" t="s">
        <v>17</v>
      </c>
      <c r="R3">
        <v>0.33893597194144731</v>
      </c>
      <c r="S3">
        <v>1.7205279829367894E-2</v>
      </c>
      <c r="U3" s="2" t="s">
        <v>17</v>
      </c>
      <c r="V3" s="2">
        <v>17</v>
      </c>
      <c r="W3" s="11" t="s">
        <v>101</v>
      </c>
      <c r="X3" s="8" t="s">
        <v>100</v>
      </c>
    </row>
    <row r="4" spans="1:24" x14ac:dyDescent="0.35">
      <c r="A4" t="s">
        <v>83</v>
      </c>
      <c r="B4">
        <v>0.29975274763028825</v>
      </c>
      <c r="C4">
        <v>9.5559926422891517E-2</v>
      </c>
      <c r="E4" s="2" t="s">
        <v>8</v>
      </c>
      <c r="F4" s="2">
        <v>51</v>
      </c>
      <c r="G4" s="9" t="s">
        <v>98</v>
      </c>
      <c r="H4" s="4" t="s">
        <v>99</v>
      </c>
      <c r="K4" s="2"/>
      <c r="L4" s="2"/>
      <c r="Q4" t="s">
        <v>6</v>
      </c>
      <c r="R4">
        <v>0.29389658357859505</v>
      </c>
      <c r="S4">
        <v>8.1442757016388801E-3</v>
      </c>
      <c r="U4" s="2" t="s">
        <v>6</v>
      </c>
      <c r="V4" s="2">
        <v>20</v>
      </c>
      <c r="W4" s="9" t="s">
        <v>98</v>
      </c>
      <c r="X4" s="4" t="s">
        <v>99</v>
      </c>
    </row>
    <row r="5" spans="1:24" x14ac:dyDescent="0.35">
      <c r="A5" t="s">
        <v>81</v>
      </c>
      <c r="B5">
        <v>0.29389658357859505</v>
      </c>
      <c r="C5">
        <v>8.1442757016388801E-3</v>
      </c>
      <c r="E5" s="2" t="s">
        <v>6</v>
      </c>
      <c r="F5" s="2">
        <v>20</v>
      </c>
      <c r="G5" s="9" t="s">
        <v>98</v>
      </c>
      <c r="H5" s="4" t="s">
        <v>99</v>
      </c>
      <c r="K5" s="2"/>
      <c r="L5" s="2"/>
    </row>
    <row r="6" spans="1:24" x14ac:dyDescent="0.35">
      <c r="A6" t="s">
        <v>88</v>
      </c>
      <c r="B6">
        <v>0.28000336699463468</v>
      </c>
      <c r="C6">
        <v>0.12062543516797974</v>
      </c>
      <c r="E6" s="2" t="s">
        <v>24</v>
      </c>
      <c r="F6" s="2">
        <v>17</v>
      </c>
      <c r="G6" s="3" t="s">
        <v>104</v>
      </c>
      <c r="H6" s="4" t="s">
        <v>99</v>
      </c>
      <c r="K6" s="2"/>
      <c r="L6" s="2"/>
      <c r="Q6" t="s">
        <v>25</v>
      </c>
      <c r="R6">
        <v>4.9698421129851886E-2</v>
      </c>
      <c r="S6">
        <v>0.76071533857417295</v>
      </c>
      <c r="U6" s="2" t="s">
        <v>25</v>
      </c>
      <c r="V6" s="2">
        <v>21</v>
      </c>
      <c r="W6" s="12" t="s">
        <v>105</v>
      </c>
      <c r="X6" s="4" t="s">
        <v>99</v>
      </c>
    </row>
    <row r="7" spans="1:24" x14ac:dyDescent="0.35">
      <c r="A7" t="s">
        <v>89</v>
      </c>
      <c r="B7">
        <v>4.9698421129851886E-2</v>
      </c>
      <c r="C7">
        <v>0.76071533857417295</v>
      </c>
      <c r="E7" s="2" t="s">
        <v>25</v>
      </c>
      <c r="F7" s="2">
        <v>21</v>
      </c>
      <c r="G7" s="12" t="s">
        <v>105</v>
      </c>
      <c r="H7" s="4" t="s">
        <v>99</v>
      </c>
      <c r="K7" s="2"/>
      <c r="L7" s="2"/>
      <c r="Q7" t="s">
        <v>7</v>
      </c>
      <c r="R7">
        <v>-3.3954453986983386E-2</v>
      </c>
      <c r="S7">
        <v>0.80742818039001507</v>
      </c>
      <c r="U7" s="2" t="s">
        <v>7</v>
      </c>
      <c r="V7" s="2">
        <v>24</v>
      </c>
      <c r="W7" s="11" t="s">
        <v>101</v>
      </c>
      <c r="X7" s="8" t="s">
        <v>100</v>
      </c>
    </row>
    <row r="8" spans="1:24" x14ac:dyDescent="0.35">
      <c r="A8" t="s">
        <v>86</v>
      </c>
      <c r="B8">
        <v>4.7258407875891022E-2</v>
      </c>
      <c r="C8">
        <v>0.65644035022157232</v>
      </c>
      <c r="E8" s="2" t="s">
        <v>21</v>
      </c>
      <c r="F8" s="2">
        <v>59</v>
      </c>
      <c r="G8" s="5" t="s">
        <v>103</v>
      </c>
      <c r="H8" s="8" t="s">
        <v>100</v>
      </c>
      <c r="K8" s="2"/>
      <c r="L8" s="2"/>
      <c r="Q8" t="s">
        <v>19</v>
      </c>
      <c r="R8">
        <v>-4.4394145816552266E-2</v>
      </c>
      <c r="S8">
        <v>0.82950265620912389</v>
      </c>
      <c r="U8" s="14" t="s">
        <v>19</v>
      </c>
      <c r="V8" s="2">
        <v>44</v>
      </c>
      <c r="W8" s="16" t="s">
        <v>101</v>
      </c>
      <c r="X8" s="4" t="s">
        <v>99</v>
      </c>
    </row>
    <row r="9" spans="1:24" x14ac:dyDescent="0.35">
      <c r="A9" t="s">
        <v>82</v>
      </c>
      <c r="B9">
        <v>-3.3954453986983386E-2</v>
      </c>
      <c r="C9">
        <v>0.80742818039001507</v>
      </c>
      <c r="E9" s="2" t="s">
        <v>7</v>
      </c>
      <c r="F9" s="2">
        <v>24</v>
      </c>
      <c r="G9" s="11" t="s">
        <v>101</v>
      </c>
      <c r="H9" s="8" t="s">
        <v>100</v>
      </c>
      <c r="K9" s="2"/>
      <c r="L9" s="2"/>
    </row>
    <row r="10" spans="1:24" x14ac:dyDescent="0.35">
      <c r="A10" t="s">
        <v>85</v>
      </c>
      <c r="B10">
        <v>-4.4394145816552266E-2</v>
      </c>
      <c r="C10">
        <v>0.82950265620912389</v>
      </c>
      <c r="E10" s="14" t="s">
        <v>19</v>
      </c>
      <c r="F10" s="2">
        <v>44</v>
      </c>
      <c r="G10" s="16" t="s">
        <v>101</v>
      </c>
      <c r="H10" s="4" t="s">
        <v>99</v>
      </c>
      <c r="K10" s="2"/>
      <c r="L10" s="2"/>
    </row>
    <row r="11" spans="1:24" x14ac:dyDescent="0.35">
      <c r="K11" s="2"/>
      <c r="L11" s="2"/>
    </row>
    <row r="12" spans="1:24" x14ac:dyDescent="0.35">
      <c r="K12" s="2"/>
      <c r="L12" s="2"/>
    </row>
    <row r="13" spans="1:24" x14ac:dyDescent="0.35">
      <c r="K13" s="2"/>
      <c r="L13" s="2"/>
      <c r="M13" s="15"/>
    </row>
    <row r="14" spans="1:24" x14ac:dyDescent="0.35">
      <c r="K14" s="2"/>
      <c r="L14" s="2"/>
      <c r="M14" s="15"/>
    </row>
    <row r="15" spans="1:24" x14ac:dyDescent="0.35">
      <c r="K15" s="2"/>
      <c r="L15" s="2"/>
    </row>
    <row r="16" spans="1:24" x14ac:dyDescent="0.35">
      <c r="K16" s="2"/>
      <c r="L16" s="2"/>
    </row>
    <row r="17" spans="11:13" x14ac:dyDescent="0.35">
      <c r="K17" s="2"/>
      <c r="L17" s="2"/>
      <c r="M17" s="15"/>
    </row>
    <row r="18" spans="11:13" x14ac:dyDescent="0.35">
      <c r="K18" s="2"/>
      <c r="L18" s="2"/>
    </row>
    <row r="19" spans="11:13" x14ac:dyDescent="0.35">
      <c r="K19" s="2"/>
      <c r="L19" s="2"/>
      <c r="M19" s="15"/>
    </row>
    <row r="20" spans="11:13" x14ac:dyDescent="0.35">
      <c r="K20" s="14"/>
      <c r="L20" s="2"/>
      <c r="M20" s="15"/>
    </row>
    <row r="21" spans="11:13" x14ac:dyDescent="0.35">
      <c r="K21" s="14"/>
      <c r="L21" s="2"/>
      <c r="M21" s="15"/>
    </row>
    <row r="22" spans="11:13" x14ac:dyDescent="0.35">
      <c r="K22" s="14"/>
      <c r="L22" s="2"/>
      <c r="M22" s="15"/>
    </row>
    <row r="23" spans="11:13" x14ac:dyDescent="0.35">
      <c r="K23" s="2"/>
      <c r="L23" s="2"/>
    </row>
    <row r="24" spans="11:13" x14ac:dyDescent="0.35">
      <c r="K24" s="2"/>
      <c r="L24" s="2"/>
    </row>
    <row r="25" spans="11:13" x14ac:dyDescent="0.35">
      <c r="K25" s="2"/>
      <c r="L25" s="2"/>
    </row>
    <row r="26" spans="11:13" x14ac:dyDescent="0.35">
      <c r="K26" s="2"/>
      <c r="L26" s="2"/>
    </row>
    <row r="27" spans="11:13" x14ac:dyDescent="0.35">
      <c r="K27" s="2"/>
      <c r="L27" s="2"/>
    </row>
  </sheetData>
  <sortState xmlns:xlrd2="http://schemas.microsoft.com/office/spreadsheetml/2017/richdata2" ref="Q2:X8">
    <sortCondition descending="1" ref="R2:R8"/>
  </sortState>
  <conditionalFormatting sqref="F2:F10">
    <cfRule type="colorScale" priority="3">
      <colorScale>
        <cfvo type="min"/>
        <cfvo type="max"/>
        <color rgb="FFFCFCFF"/>
        <color theme="8" tint="-0.499984740745262"/>
      </colorScale>
    </cfRule>
  </conditionalFormatting>
  <conditionalFormatting sqref="L2:L27">
    <cfRule type="colorScale" priority="10">
      <colorScale>
        <cfvo type="min"/>
        <cfvo type="max"/>
        <color rgb="FFFCFCFF"/>
        <color theme="8" tint="-0.249977111117893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32B02-3FC0-4AB7-BCE9-56020CE6763A}">
  <dimension ref="A1:F6"/>
  <sheetViews>
    <sheetView workbookViewId="0">
      <selection activeCell="D2" sqref="D2"/>
    </sheetView>
  </sheetViews>
  <sheetFormatPr defaultRowHeight="14.5" x14ac:dyDescent="0.35"/>
  <cols>
    <col min="1" max="1" width="16.6328125" bestFit="1" customWidth="1"/>
    <col min="2" max="2" width="11.08984375" customWidth="1"/>
  </cols>
  <sheetData>
    <row r="1" spans="1:6" x14ac:dyDescent="0.35">
      <c r="B1" t="s">
        <v>26</v>
      </c>
      <c r="C1" t="s">
        <v>92</v>
      </c>
      <c r="D1" t="s">
        <v>197</v>
      </c>
      <c r="F1" t="s">
        <v>183</v>
      </c>
    </row>
    <row r="2" spans="1:6" x14ac:dyDescent="0.35">
      <c r="A2" t="s">
        <v>184</v>
      </c>
      <c r="B2">
        <v>0.53458743896639205</v>
      </c>
      <c r="C2" s="1">
        <v>1.5485018738078799E-79</v>
      </c>
      <c r="D2">
        <f>-LOG10(C2)</f>
        <v>78.810088264776724</v>
      </c>
      <c r="F2">
        <v>2.5</v>
      </c>
    </row>
    <row r="3" spans="1:6" x14ac:dyDescent="0.35">
      <c r="A3" t="s">
        <v>185</v>
      </c>
      <c r="B3">
        <v>0.54749631456223602</v>
      </c>
      <c r="C3" s="1">
        <v>2.89179531477844E-86</v>
      </c>
      <c r="D3">
        <f t="shared" ref="D3:D6" si="0">-LOG10(C3)</f>
        <v>85.538832450246176</v>
      </c>
      <c r="F3">
        <v>2</v>
      </c>
    </row>
    <row r="4" spans="1:6" x14ac:dyDescent="0.35">
      <c r="A4" t="s">
        <v>186</v>
      </c>
      <c r="B4">
        <v>0.52183300992528903</v>
      </c>
      <c r="C4" s="1">
        <v>3.66337906657825E-77</v>
      </c>
      <c r="D4">
        <f t="shared" si="0"/>
        <v>76.43611814057499</v>
      </c>
      <c r="F4">
        <v>95</v>
      </c>
    </row>
    <row r="5" spans="1:6" x14ac:dyDescent="0.35">
      <c r="A5" t="s">
        <v>187</v>
      </c>
      <c r="B5">
        <v>0.21485938402656099</v>
      </c>
      <c r="C5" s="1">
        <v>7.0172070306650104E-11</v>
      </c>
      <c r="D5">
        <f t="shared" si="0"/>
        <v>10.153835710167916</v>
      </c>
      <c r="F5">
        <v>2</v>
      </c>
    </row>
    <row r="6" spans="1:6" x14ac:dyDescent="0.35">
      <c r="A6" t="s">
        <v>188</v>
      </c>
      <c r="B6">
        <v>0.134148488345471</v>
      </c>
      <c r="C6">
        <v>4.1080039422922796E-3</v>
      </c>
      <c r="D6">
        <f t="shared" si="0"/>
        <v>2.3863691482989653</v>
      </c>
      <c r="F6">
        <v>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CD662-8603-4ED8-8EB8-2A39030385C1}">
  <dimension ref="A1:H27"/>
  <sheetViews>
    <sheetView workbookViewId="0">
      <selection activeCell="H1" sqref="H1:H28"/>
    </sheetView>
  </sheetViews>
  <sheetFormatPr defaultRowHeight="14.5" x14ac:dyDescent="0.35"/>
  <cols>
    <col min="4" max="4" width="15" bestFit="1" customWidth="1"/>
    <col min="5" max="5" width="13.36328125" bestFit="1" customWidth="1"/>
    <col min="6" max="6" width="13.6328125" bestFit="1" customWidth="1"/>
  </cols>
  <sheetData>
    <row r="1" spans="1:8" x14ac:dyDescent="0.35">
      <c r="A1" s="19"/>
      <c r="B1" s="19" t="s">
        <v>118</v>
      </c>
      <c r="C1" s="19" t="s">
        <v>119</v>
      </c>
      <c r="D1" s="19" t="s">
        <v>120</v>
      </c>
      <c r="E1" s="19" t="s">
        <v>121</v>
      </c>
      <c r="F1" s="19" t="s">
        <v>122</v>
      </c>
      <c r="H1" s="19"/>
    </row>
    <row r="2" spans="1:8" x14ac:dyDescent="0.35">
      <c r="A2" s="20" t="s">
        <v>8</v>
      </c>
      <c r="B2" s="18">
        <v>0.72679990000000005</v>
      </c>
      <c r="C2" s="18">
        <v>0.87650869600000003</v>
      </c>
      <c r="D2" s="18">
        <v>0.90022356699999995</v>
      </c>
      <c r="E2" s="18">
        <v>0.429115319</v>
      </c>
      <c r="F2" s="21" t="s">
        <v>124</v>
      </c>
    </row>
    <row r="3" spans="1:8" x14ac:dyDescent="0.35">
      <c r="A3" s="20" t="s">
        <v>12</v>
      </c>
      <c r="B3" s="18">
        <v>0.83820234599999999</v>
      </c>
      <c r="C3" s="18">
        <v>0.56844198499999998</v>
      </c>
      <c r="D3" s="18">
        <v>0.77120497700000001</v>
      </c>
      <c r="E3" s="18"/>
      <c r="F3" s="18"/>
    </row>
    <row r="4" spans="1:8" x14ac:dyDescent="0.35">
      <c r="A4" s="20" t="s">
        <v>21</v>
      </c>
      <c r="B4" s="18">
        <v>0.73166098400000001</v>
      </c>
      <c r="C4" s="18">
        <v>0.67272002900000005</v>
      </c>
      <c r="D4" s="18">
        <v>0.730657997</v>
      </c>
      <c r="E4" s="18">
        <v>0.207403535</v>
      </c>
      <c r="F4" s="21" t="s">
        <v>123</v>
      </c>
    </row>
    <row r="5" spans="1:8" x14ac:dyDescent="0.35">
      <c r="A5" s="20" t="s">
        <v>10</v>
      </c>
      <c r="B5" s="18">
        <v>0.60337574800000005</v>
      </c>
      <c r="C5" s="18">
        <v>0.68209691100000003</v>
      </c>
      <c r="D5" s="18">
        <v>0.74666121200000002</v>
      </c>
      <c r="E5" s="21" t="s">
        <v>129</v>
      </c>
      <c r="F5" s="18"/>
    </row>
    <row r="6" spans="1:8" x14ac:dyDescent="0.35">
      <c r="A6" s="20" t="s">
        <v>7</v>
      </c>
      <c r="B6" s="18">
        <v>0.67527045200000002</v>
      </c>
      <c r="C6" s="18">
        <v>0.59931098900000002</v>
      </c>
      <c r="D6" s="18">
        <v>0.69932880500000005</v>
      </c>
      <c r="E6" s="21" t="s">
        <v>127</v>
      </c>
      <c r="F6" s="21" t="s">
        <v>128</v>
      </c>
    </row>
    <row r="7" spans="1:8" x14ac:dyDescent="0.35">
      <c r="A7" s="20" t="s">
        <v>6</v>
      </c>
      <c r="B7" s="18">
        <v>0.65852555999999995</v>
      </c>
      <c r="C7" s="18">
        <v>0.62239261700000004</v>
      </c>
      <c r="D7" s="18">
        <v>0.69271809900000003</v>
      </c>
      <c r="E7" s="18">
        <v>0.40367550000000002</v>
      </c>
      <c r="F7" s="18">
        <v>0.29389658400000002</v>
      </c>
    </row>
    <row r="8" spans="1:8" x14ac:dyDescent="0.35">
      <c r="A8" s="20" t="s">
        <v>23</v>
      </c>
      <c r="B8" s="18">
        <v>0.64724297799999997</v>
      </c>
      <c r="C8" s="18">
        <v>0.65654462000000002</v>
      </c>
      <c r="D8" s="18">
        <v>0.62723439000000003</v>
      </c>
      <c r="E8" s="18">
        <v>0.44480792200000002</v>
      </c>
      <c r="F8" s="18">
        <v>0.54217529499999995</v>
      </c>
    </row>
    <row r="9" spans="1:8" x14ac:dyDescent="0.35">
      <c r="A9" s="20" t="s">
        <v>5</v>
      </c>
      <c r="B9" s="18">
        <v>0.62312761100000003</v>
      </c>
      <c r="C9" s="18">
        <v>0.62326065799999997</v>
      </c>
      <c r="D9" s="18">
        <v>0.67788943599999996</v>
      </c>
      <c r="E9" s="18">
        <v>0.46581824599999999</v>
      </c>
      <c r="F9" s="18"/>
    </row>
    <row r="10" spans="1:8" x14ac:dyDescent="0.35">
      <c r="A10" s="20" t="s">
        <v>3</v>
      </c>
      <c r="B10" s="18">
        <v>0.70263180300000005</v>
      </c>
      <c r="C10" s="18">
        <v>0.63639087800000005</v>
      </c>
      <c r="D10" s="18">
        <v>0.56540195599999998</v>
      </c>
      <c r="E10" s="21" t="s">
        <v>125</v>
      </c>
      <c r="F10" s="18"/>
    </row>
    <row r="11" spans="1:8" x14ac:dyDescent="0.35">
      <c r="A11" s="20" t="s">
        <v>2</v>
      </c>
      <c r="B11" s="18">
        <v>0.680448312</v>
      </c>
      <c r="C11" s="18">
        <v>0.54368576999999996</v>
      </c>
      <c r="D11" s="18">
        <v>0.61280919899999997</v>
      </c>
      <c r="E11" s="21" t="s">
        <v>126</v>
      </c>
      <c r="F11" s="18"/>
    </row>
    <row r="12" spans="1:8" x14ac:dyDescent="0.35">
      <c r="A12" s="20" t="s">
        <v>15</v>
      </c>
      <c r="B12" s="18">
        <v>0.59194740199999996</v>
      </c>
      <c r="C12" s="18">
        <v>0.48642218199999998</v>
      </c>
      <c r="D12" s="18">
        <v>0.74284670100000005</v>
      </c>
      <c r="E12" s="18"/>
      <c r="F12" s="18"/>
    </row>
    <row r="13" spans="1:8" x14ac:dyDescent="0.35">
      <c r="A13" s="20" t="s">
        <v>16</v>
      </c>
      <c r="B13" s="18">
        <v>0.64025064899999995</v>
      </c>
      <c r="C13" s="18">
        <v>0.50112287</v>
      </c>
      <c r="D13" s="18">
        <v>0.64685231600000004</v>
      </c>
      <c r="E13" s="18">
        <v>0.463385408</v>
      </c>
      <c r="F13" s="18"/>
    </row>
    <row r="14" spans="1:8" x14ac:dyDescent="0.35">
      <c r="A14" s="20" t="s">
        <v>22</v>
      </c>
      <c r="B14" s="18">
        <v>0.58819841900000003</v>
      </c>
      <c r="C14" s="18">
        <v>0.60427228499999996</v>
      </c>
      <c r="D14" s="18">
        <v>0.58597387499999998</v>
      </c>
      <c r="E14" s="18">
        <v>0.463385408</v>
      </c>
      <c r="F14" s="18"/>
    </row>
    <row r="15" spans="1:8" x14ac:dyDescent="0.35">
      <c r="A15" s="20" t="s">
        <v>25</v>
      </c>
      <c r="B15" s="18">
        <v>0.54435800999999995</v>
      </c>
      <c r="C15" s="18">
        <v>0.67140257299999995</v>
      </c>
      <c r="D15" s="18">
        <v>0.52254007099999999</v>
      </c>
      <c r="E15" s="21" t="s">
        <v>132</v>
      </c>
      <c r="F15" s="21" t="s">
        <v>133</v>
      </c>
    </row>
    <row r="16" spans="1:8" x14ac:dyDescent="0.35">
      <c r="A16" s="20" t="s">
        <v>11</v>
      </c>
      <c r="B16" s="18">
        <v>0.60311909900000005</v>
      </c>
      <c r="C16" s="18">
        <v>0.60265426899999996</v>
      </c>
      <c r="D16" s="18">
        <v>0.500680389</v>
      </c>
      <c r="E16" s="21" t="s">
        <v>130</v>
      </c>
      <c r="F16" s="18"/>
    </row>
    <row r="17" spans="1:6" x14ac:dyDescent="0.35">
      <c r="A17" s="20" t="s">
        <v>13</v>
      </c>
      <c r="B17" s="18">
        <v>0.64007029299999996</v>
      </c>
      <c r="C17" s="18">
        <v>0.380938993</v>
      </c>
      <c r="D17" s="18">
        <v>0.59566799199999998</v>
      </c>
      <c r="E17" s="18"/>
      <c r="F17" s="18"/>
    </row>
    <row r="18" spans="1:6" x14ac:dyDescent="0.35">
      <c r="A18" s="20" t="s">
        <v>17</v>
      </c>
      <c r="B18" s="18">
        <v>0.47634727100000002</v>
      </c>
      <c r="C18" s="18">
        <v>0.52259966899999999</v>
      </c>
      <c r="D18" s="18">
        <v>0.553642627</v>
      </c>
      <c r="E18" s="21" t="s">
        <v>135</v>
      </c>
      <c r="F18" s="18">
        <v>0.33893597199999997</v>
      </c>
    </row>
    <row r="19" spans="1:6" x14ac:dyDescent="0.35">
      <c r="A19" s="20" t="s">
        <v>14</v>
      </c>
      <c r="B19" s="18">
        <v>0.56669338999999996</v>
      </c>
      <c r="C19" s="21" t="s">
        <v>131</v>
      </c>
      <c r="D19" s="18">
        <v>0.468351725</v>
      </c>
      <c r="E19" s="18"/>
      <c r="F19" s="18"/>
    </row>
    <row r="20" spans="1:6" x14ac:dyDescent="0.35">
      <c r="A20" s="20" t="s">
        <v>18</v>
      </c>
      <c r="B20" s="18">
        <v>0.495185282</v>
      </c>
      <c r="C20" s="18">
        <v>0.52707358699999995</v>
      </c>
      <c r="D20" s="21" t="s">
        <v>192</v>
      </c>
      <c r="E20" s="21" t="s">
        <v>134</v>
      </c>
      <c r="F20" s="18"/>
    </row>
    <row r="21" spans="1:6" x14ac:dyDescent="0.35">
      <c r="A21" s="20" t="s">
        <v>1</v>
      </c>
      <c r="B21" s="18">
        <v>0.37792236000000001</v>
      </c>
      <c r="C21" s="18">
        <v>0.45170808099999998</v>
      </c>
      <c r="D21" s="18">
        <v>0.40943355100000001</v>
      </c>
      <c r="E21" s="18">
        <v>0.29861642900000002</v>
      </c>
      <c r="F21" s="18"/>
    </row>
    <row r="22" spans="1:6" x14ac:dyDescent="0.35">
      <c r="A22" s="20" t="s">
        <v>4</v>
      </c>
      <c r="B22" s="18">
        <v>0.30746888100000003</v>
      </c>
      <c r="C22" s="21" t="s">
        <v>138</v>
      </c>
      <c r="D22" s="21" t="s">
        <v>190</v>
      </c>
      <c r="E22" s="21" t="s">
        <v>139</v>
      </c>
      <c r="F22" s="18"/>
    </row>
    <row r="23" spans="1:6" x14ac:dyDescent="0.35">
      <c r="A23" s="20" t="s">
        <v>9</v>
      </c>
      <c r="B23" s="21" t="s">
        <v>136</v>
      </c>
      <c r="C23" s="21" t="s">
        <v>137</v>
      </c>
      <c r="D23" s="21" t="s">
        <v>191</v>
      </c>
      <c r="E23" s="18"/>
      <c r="F23" s="18"/>
    </row>
    <row r="24" spans="1:6" x14ac:dyDescent="0.35">
      <c r="A24" s="20" t="s">
        <v>19</v>
      </c>
      <c r="B24" s="21" t="s">
        <v>140</v>
      </c>
      <c r="C24" s="21" t="s">
        <v>141</v>
      </c>
      <c r="D24" s="21" t="s">
        <v>193</v>
      </c>
      <c r="E24" s="21" t="s">
        <v>142</v>
      </c>
      <c r="F24" s="21" t="s">
        <v>143</v>
      </c>
    </row>
    <row r="25" spans="1:6" x14ac:dyDescent="0.35">
      <c r="A25" s="20" t="s">
        <v>48</v>
      </c>
      <c r="B25" s="18"/>
      <c r="C25" s="21" t="s">
        <v>151</v>
      </c>
      <c r="D25" s="21" t="s">
        <v>194</v>
      </c>
      <c r="E25" s="18"/>
      <c r="F25" s="18"/>
    </row>
    <row r="26" spans="1:6" x14ac:dyDescent="0.35">
      <c r="A26" s="20" t="s">
        <v>20</v>
      </c>
      <c r="B26" s="21" t="s">
        <v>144</v>
      </c>
      <c r="C26" s="21" t="s">
        <v>145</v>
      </c>
      <c r="D26" s="21" t="s">
        <v>195</v>
      </c>
      <c r="E26" s="21" t="s">
        <v>146</v>
      </c>
      <c r="F26" s="18"/>
    </row>
    <row r="27" spans="1:6" x14ac:dyDescent="0.35">
      <c r="A27" s="20" t="s">
        <v>24</v>
      </c>
      <c r="B27" s="21" t="s">
        <v>147</v>
      </c>
      <c r="C27" s="21" t="s">
        <v>148</v>
      </c>
      <c r="D27" s="21" t="s">
        <v>196</v>
      </c>
      <c r="E27" s="21" t="s">
        <v>149</v>
      </c>
      <c r="F27" s="21" t="s">
        <v>150</v>
      </c>
    </row>
  </sheetData>
  <sortState xmlns:xlrd2="http://schemas.microsoft.com/office/spreadsheetml/2017/richdata2" ref="A2:H22">
    <sortCondition descending="1" ref="H2:H22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8613B-9B1B-4598-90D4-7DF6EC2B05E9}">
  <dimension ref="A1:O9"/>
  <sheetViews>
    <sheetView workbookViewId="0">
      <selection activeCell="G3" sqref="G3:I7"/>
    </sheetView>
  </sheetViews>
  <sheetFormatPr defaultRowHeight="14.5" x14ac:dyDescent="0.35"/>
  <cols>
    <col min="1" max="16384" width="8.7265625" style="22"/>
  </cols>
  <sheetData>
    <row r="1" spans="1:15" x14ac:dyDescent="0.35">
      <c r="A1" s="31" t="s">
        <v>152</v>
      </c>
      <c r="B1" s="31"/>
      <c r="C1" s="31"/>
      <c r="D1" s="31" t="s">
        <v>153</v>
      </c>
      <c r="E1" s="31"/>
      <c r="F1" s="31"/>
      <c r="G1" s="31" t="s">
        <v>154</v>
      </c>
      <c r="H1" s="31"/>
      <c r="I1" s="31"/>
      <c r="J1" s="31" t="s">
        <v>157</v>
      </c>
      <c r="K1" s="31"/>
      <c r="L1" s="31"/>
      <c r="M1" s="31" t="s">
        <v>155</v>
      </c>
      <c r="N1" s="31"/>
      <c r="O1" s="31"/>
    </row>
    <row r="2" spans="1:15" x14ac:dyDescent="0.35">
      <c r="A2" s="22" t="s">
        <v>112</v>
      </c>
      <c r="B2" s="22" t="s">
        <v>156</v>
      </c>
      <c r="C2" s="22" t="s">
        <v>158</v>
      </c>
      <c r="D2" s="22" t="s">
        <v>112</v>
      </c>
      <c r="E2" s="22" t="s">
        <v>156</v>
      </c>
      <c r="F2" s="22" t="s">
        <v>158</v>
      </c>
      <c r="G2" s="22" t="s">
        <v>112</v>
      </c>
      <c r="H2" s="22" t="s">
        <v>156</v>
      </c>
      <c r="I2" s="22" t="s">
        <v>158</v>
      </c>
      <c r="J2" s="22" t="s">
        <v>112</v>
      </c>
      <c r="K2" s="22" t="s">
        <v>156</v>
      </c>
      <c r="L2" s="22" t="s">
        <v>158</v>
      </c>
      <c r="M2" s="22" t="s">
        <v>112</v>
      </c>
      <c r="N2" s="22" t="s">
        <v>156</v>
      </c>
      <c r="O2" s="22" t="s">
        <v>158</v>
      </c>
    </row>
    <row r="3" spans="1:15" x14ac:dyDescent="0.35">
      <c r="A3" s="24" t="s">
        <v>12</v>
      </c>
      <c r="B3" s="25">
        <v>0.83820234612717603</v>
      </c>
      <c r="C3" s="24">
        <v>2.5961543251400571E-8</v>
      </c>
      <c r="D3" s="27" t="s">
        <v>8</v>
      </c>
      <c r="E3" s="24">
        <v>0.87650869603248016</v>
      </c>
      <c r="F3" s="24">
        <v>4.8730591007395791E-11</v>
      </c>
      <c r="G3" s="10" t="s">
        <v>8</v>
      </c>
      <c r="H3">
        <v>0.90022356650050417</v>
      </c>
      <c r="I3">
        <v>2.3430301718470719E-12</v>
      </c>
      <c r="J3" s="24" t="s">
        <v>16</v>
      </c>
      <c r="K3" s="24">
        <v>0.66206384871145352</v>
      </c>
      <c r="L3" s="24">
        <v>2.2951635069335186E-4</v>
      </c>
      <c r="M3" s="24" t="s">
        <v>23</v>
      </c>
      <c r="N3" s="25">
        <v>0.54217529539577614</v>
      </c>
      <c r="O3" s="26">
        <v>3.3018555743898859E-5</v>
      </c>
    </row>
    <row r="4" spans="1:15" x14ac:dyDescent="0.35">
      <c r="A4" s="27" t="s">
        <v>21</v>
      </c>
      <c r="B4" s="25">
        <v>0.73166098350209852</v>
      </c>
      <c r="C4" s="24">
        <v>1.7607302054954126E-16</v>
      </c>
      <c r="D4" s="24" t="s">
        <v>10</v>
      </c>
      <c r="E4" s="24">
        <v>0.68209691056247801</v>
      </c>
      <c r="F4" s="24">
        <v>3.3060930283804504E-5</v>
      </c>
      <c r="G4" t="s">
        <v>12</v>
      </c>
      <c r="H4">
        <v>0.77120497716272807</v>
      </c>
      <c r="I4">
        <v>1.5609115725846041E-6</v>
      </c>
      <c r="J4" s="24" t="s">
        <v>5</v>
      </c>
      <c r="K4" s="24">
        <v>0.46581824623736523</v>
      </c>
      <c r="L4" s="24">
        <v>7.212029630346512E-3</v>
      </c>
      <c r="M4" s="24" t="s">
        <v>6</v>
      </c>
      <c r="N4" s="25">
        <v>0.29389658357859505</v>
      </c>
      <c r="O4" s="26">
        <v>8.1442757016388801E-3</v>
      </c>
    </row>
    <row r="5" spans="1:15" x14ac:dyDescent="0.35">
      <c r="A5" s="27" t="s">
        <v>8</v>
      </c>
      <c r="B5" s="25">
        <v>0.726799899875189</v>
      </c>
      <c r="C5" s="24">
        <v>2.470430697631834E-6</v>
      </c>
      <c r="D5" s="27" t="s">
        <v>21</v>
      </c>
      <c r="E5" s="24">
        <v>0.67272002920779839</v>
      </c>
      <c r="F5" s="24">
        <v>2.8108859897136882E-13</v>
      </c>
      <c r="G5" t="s">
        <v>10</v>
      </c>
      <c r="H5">
        <v>0.74666121244525252</v>
      </c>
      <c r="I5">
        <v>2.1540174358524407E-6</v>
      </c>
      <c r="J5" s="24" t="s">
        <v>22</v>
      </c>
      <c r="K5" s="24">
        <v>0.46338540762702812</v>
      </c>
      <c r="L5" s="24">
        <v>4.1760394591432208E-4</v>
      </c>
      <c r="M5" s="24" t="s">
        <v>17</v>
      </c>
      <c r="N5" s="25">
        <v>0.33893597194144731</v>
      </c>
      <c r="O5" s="26">
        <v>1.7205279829367894E-2</v>
      </c>
    </row>
    <row r="6" spans="1:15" x14ac:dyDescent="0.35">
      <c r="A6" s="24" t="s">
        <v>3</v>
      </c>
      <c r="B6" s="24">
        <v>0.7026318030150327</v>
      </c>
      <c r="C6" s="24">
        <v>1.3760096848716695E-10</v>
      </c>
      <c r="D6" s="24" t="s">
        <v>25</v>
      </c>
      <c r="E6" s="24">
        <v>0.67140257296437522</v>
      </c>
      <c r="F6" s="24">
        <v>2.1133936945863926E-6</v>
      </c>
      <c r="G6" t="s">
        <v>15</v>
      </c>
      <c r="H6">
        <v>0.74284670099461292</v>
      </c>
      <c r="I6">
        <v>2.1084452216775921E-5</v>
      </c>
      <c r="J6" s="24" t="s">
        <v>23</v>
      </c>
      <c r="K6" s="24">
        <v>0.44480792204877334</v>
      </c>
      <c r="L6" s="24">
        <v>9.5358582330416742E-4</v>
      </c>
      <c r="M6" s="24"/>
      <c r="N6" s="25"/>
      <c r="O6" s="24"/>
    </row>
    <row r="7" spans="1:15" x14ac:dyDescent="0.35">
      <c r="A7" s="24" t="s">
        <v>2</v>
      </c>
      <c r="B7" s="24">
        <v>0.68044831180066079</v>
      </c>
      <c r="C7" s="24">
        <v>2.8670106365770951E-8</v>
      </c>
      <c r="D7" s="24" t="s">
        <v>23</v>
      </c>
      <c r="E7" s="24">
        <v>0.65654462028132865</v>
      </c>
      <c r="F7" s="24">
        <v>1.2572861295395751E-7</v>
      </c>
      <c r="G7" s="10" t="s">
        <v>21</v>
      </c>
      <c r="H7">
        <v>0.73065799674981102</v>
      </c>
      <c r="I7">
        <v>2.0284756340284919E-16</v>
      </c>
      <c r="J7" s="27" t="s">
        <v>8</v>
      </c>
      <c r="K7" s="24">
        <v>0.42911531876202774</v>
      </c>
      <c r="L7" s="24">
        <v>1.4255673011775423E-2</v>
      </c>
      <c r="M7" s="24"/>
      <c r="N7" s="25"/>
      <c r="O7" s="25"/>
    </row>
    <row r="8" spans="1:15" x14ac:dyDescent="0.35">
      <c r="B8" s="23"/>
      <c r="C8" s="23"/>
      <c r="E8" s="23"/>
      <c r="F8" s="23"/>
      <c r="H8" s="23"/>
      <c r="I8" s="23"/>
      <c r="K8" s="23"/>
      <c r="L8" s="23"/>
      <c r="N8" s="23"/>
      <c r="O8" s="23"/>
    </row>
    <row r="9" spans="1:15" x14ac:dyDescent="0.35">
      <c r="B9" s="23"/>
      <c r="C9" s="23"/>
      <c r="E9" s="23"/>
      <c r="F9" s="23"/>
      <c r="H9" s="23"/>
      <c r="I9" s="23"/>
      <c r="K9" s="23"/>
      <c r="L9" s="23"/>
      <c r="N9" s="23"/>
      <c r="O9" s="23"/>
    </row>
  </sheetData>
  <mergeCells count="5">
    <mergeCell ref="A1:C1"/>
    <mergeCell ref="D1:F1"/>
    <mergeCell ref="G1:I1"/>
    <mergeCell ref="J1:L1"/>
    <mergeCell ref="M1:O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2AB6E-EBD4-4136-BCA1-E14BFCF83C57}">
  <dimension ref="A1:L27"/>
  <sheetViews>
    <sheetView workbookViewId="0">
      <selection activeCell="I12" sqref="I12"/>
    </sheetView>
  </sheetViews>
  <sheetFormatPr defaultRowHeight="14.5" x14ac:dyDescent="0.35"/>
  <cols>
    <col min="9" max="9" width="15.6328125" bestFit="1" customWidth="1"/>
    <col min="10" max="10" width="15.08984375" bestFit="1" customWidth="1"/>
    <col min="11" max="12" width="11.81640625" bestFit="1" customWidth="1"/>
  </cols>
  <sheetData>
    <row r="1" spans="1:12" x14ac:dyDescent="0.35">
      <c r="A1" t="s">
        <v>205</v>
      </c>
    </row>
    <row r="2" spans="1:12" x14ac:dyDescent="0.35">
      <c r="B2" t="s">
        <v>202</v>
      </c>
    </row>
    <row r="3" spans="1:12" x14ac:dyDescent="0.35">
      <c r="B3" t="s">
        <v>26</v>
      </c>
      <c r="C3" t="s">
        <v>158</v>
      </c>
      <c r="D3" t="s">
        <v>201</v>
      </c>
      <c r="I3" t="s">
        <v>93</v>
      </c>
      <c r="J3" t="s">
        <v>118</v>
      </c>
      <c r="K3" t="s">
        <v>119</v>
      </c>
      <c r="L3" t="s">
        <v>203</v>
      </c>
    </row>
    <row r="4" spans="1:12" x14ac:dyDescent="0.35">
      <c r="B4">
        <v>0.59194740166577664</v>
      </c>
      <c r="C4">
        <v>1.8260635010725027E-3</v>
      </c>
      <c r="D4">
        <v>5</v>
      </c>
      <c r="I4" t="s">
        <v>200</v>
      </c>
      <c r="J4" s="28">
        <v>0.59194740166577664</v>
      </c>
      <c r="K4" s="28">
        <v>0.4864221823916331</v>
      </c>
      <c r="L4" s="28">
        <v>0.74284670099461292</v>
      </c>
    </row>
    <row r="5" spans="1:12" x14ac:dyDescent="0.35">
      <c r="B5">
        <v>0.49518528194008882</v>
      </c>
      <c r="C5" s="1">
        <v>3.4590893260970135E-4</v>
      </c>
      <c r="D5">
        <v>5</v>
      </c>
      <c r="I5" t="s">
        <v>101</v>
      </c>
      <c r="J5" s="28">
        <v>0.49518528194008882</v>
      </c>
      <c r="K5" s="28">
        <v>0.52259966945270431</v>
      </c>
      <c r="L5" s="28">
        <v>0.52254007054941809</v>
      </c>
    </row>
    <row r="6" spans="1:12" x14ac:dyDescent="0.35">
      <c r="B6">
        <v>0.5881984194170744</v>
      </c>
      <c r="C6" s="1">
        <v>2.9083162823859634E-6</v>
      </c>
      <c r="D6">
        <v>9</v>
      </c>
      <c r="I6" t="s">
        <v>198</v>
      </c>
      <c r="J6" s="28">
        <v>0.5881984194170744</v>
      </c>
      <c r="K6" s="28">
        <v>0.60427228479425976</v>
      </c>
      <c r="L6" s="28">
        <v>0.74666121244525252</v>
      </c>
    </row>
    <row r="7" spans="1:12" x14ac:dyDescent="0.35">
      <c r="B7">
        <v>0.73166098350209852</v>
      </c>
      <c r="C7" s="1">
        <v>1.7607302054954126E-16</v>
      </c>
      <c r="D7">
        <v>1</v>
      </c>
      <c r="I7" t="s">
        <v>103</v>
      </c>
      <c r="J7" s="28">
        <v>0.73166098350209852</v>
      </c>
      <c r="K7" s="28">
        <v>0.67272002920779839</v>
      </c>
      <c r="L7" s="28">
        <v>0.73065799674981102</v>
      </c>
    </row>
    <row r="8" spans="1:12" x14ac:dyDescent="0.35">
      <c r="J8" s="29" t="s">
        <v>206</v>
      </c>
    </row>
    <row r="9" spans="1:12" x14ac:dyDescent="0.35">
      <c r="I9" t="s">
        <v>93</v>
      </c>
      <c r="J9" t="s">
        <v>118</v>
      </c>
      <c r="K9" t="s">
        <v>119</v>
      </c>
      <c r="L9" t="s">
        <v>203</v>
      </c>
    </row>
    <row r="10" spans="1:12" x14ac:dyDescent="0.35">
      <c r="I10" t="s">
        <v>200</v>
      </c>
      <c r="J10" s="30">
        <f>-LOG10(C4)</f>
        <v>2.738484124016471</v>
      </c>
      <c r="K10" s="30">
        <f>-LOG10(C14)</f>
        <v>1.8639484563822646</v>
      </c>
      <c r="L10" s="30">
        <f>-LOG10(C24)</f>
        <v>4.6760376776617729</v>
      </c>
    </row>
    <row r="11" spans="1:12" x14ac:dyDescent="0.35">
      <c r="A11" t="s">
        <v>204</v>
      </c>
      <c r="I11" t="s">
        <v>207</v>
      </c>
      <c r="J11" s="30">
        <f t="shared" ref="J11:J13" si="0">-LOG10(C5)</f>
        <v>3.4610382227991336</v>
      </c>
      <c r="K11" s="30">
        <f>-LOG10(C15)</f>
        <v>3.9311830237513088</v>
      </c>
      <c r="L11" s="30">
        <f t="shared" ref="L11:L12" si="1">-LOG10(C25)</f>
        <v>3.2656601382435295</v>
      </c>
    </row>
    <row r="12" spans="1:12" x14ac:dyDescent="0.35">
      <c r="B12" t="s">
        <v>202</v>
      </c>
      <c r="I12" t="s">
        <v>198</v>
      </c>
      <c r="J12" s="30">
        <f t="shared" si="0"/>
        <v>5.5363583652732222</v>
      </c>
      <c r="K12" s="30">
        <f t="shared" ref="K12:K13" si="2">-LOG10(C16)</f>
        <v>5.8828815585945211</v>
      </c>
      <c r="L12" s="30">
        <f t="shared" si="1"/>
        <v>5.666750785595208</v>
      </c>
    </row>
    <row r="13" spans="1:12" x14ac:dyDescent="0.35">
      <c r="A13" t="s">
        <v>93</v>
      </c>
      <c r="B13" t="s">
        <v>26</v>
      </c>
      <c r="C13" t="s">
        <v>158</v>
      </c>
      <c r="D13" t="s">
        <v>201</v>
      </c>
      <c r="I13" t="s">
        <v>103</v>
      </c>
      <c r="J13" s="30">
        <f t="shared" si="0"/>
        <v>15.7543071853394</v>
      </c>
      <c r="K13" s="30">
        <f t="shared" si="2"/>
        <v>12.551156769135485</v>
      </c>
      <c r="L13" s="30">
        <f>-LOG10(C27)</f>
        <v>15.692830204656982</v>
      </c>
    </row>
    <row r="14" spans="1:12" x14ac:dyDescent="0.35">
      <c r="A14" t="s">
        <v>200</v>
      </c>
      <c r="B14">
        <v>0.4864221823916331</v>
      </c>
      <c r="C14" s="1">
        <v>1.3678911621631189E-2</v>
      </c>
      <c r="D14">
        <v>5</v>
      </c>
    </row>
    <row r="15" spans="1:12" x14ac:dyDescent="0.35">
      <c r="A15" t="s">
        <v>101</v>
      </c>
      <c r="B15">
        <v>0.52259966945270431</v>
      </c>
      <c r="C15" s="1">
        <v>1.1717014739563949E-4</v>
      </c>
      <c r="D15">
        <v>5</v>
      </c>
    </row>
    <row r="16" spans="1:12" x14ac:dyDescent="0.35">
      <c r="A16" t="s">
        <v>198</v>
      </c>
      <c r="B16">
        <v>0.60427228479425976</v>
      </c>
      <c r="C16" s="1">
        <v>1.3095390136363975E-6</v>
      </c>
      <c r="D16">
        <v>9</v>
      </c>
    </row>
    <row r="17" spans="1:11" x14ac:dyDescent="0.35">
      <c r="A17" t="s">
        <v>103</v>
      </c>
      <c r="B17">
        <v>0.67272002920779839</v>
      </c>
      <c r="C17" s="1">
        <v>2.8108859897136882E-13</v>
      </c>
      <c r="D17">
        <v>1</v>
      </c>
      <c r="J17">
        <v>0.05</v>
      </c>
      <c r="K17">
        <f>-LOG10(J17)</f>
        <v>1.3010299956639813</v>
      </c>
    </row>
    <row r="18" spans="1:11" x14ac:dyDescent="0.35">
      <c r="J18">
        <v>0.01</v>
      </c>
      <c r="K18">
        <f t="shared" ref="K18:K20" si="3">-LOG10(J18)</f>
        <v>2</v>
      </c>
    </row>
    <row r="19" spans="1:11" x14ac:dyDescent="0.35">
      <c r="J19">
        <v>1E-3</v>
      </c>
      <c r="K19">
        <f t="shared" si="3"/>
        <v>3</v>
      </c>
    </row>
    <row r="20" spans="1:11" x14ac:dyDescent="0.35">
      <c r="J20">
        <v>1E-4</v>
      </c>
      <c r="K20">
        <f t="shared" si="3"/>
        <v>4</v>
      </c>
    </row>
    <row r="21" spans="1:11" x14ac:dyDescent="0.35">
      <c r="A21" t="s">
        <v>203</v>
      </c>
    </row>
    <row r="22" spans="1:11" x14ac:dyDescent="0.35">
      <c r="B22" t="s">
        <v>202</v>
      </c>
    </row>
    <row r="23" spans="1:11" x14ac:dyDescent="0.35">
      <c r="A23" t="s">
        <v>93</v>
      </c>
      <c r="B23" t="s">
        <v>26</v>
      </c>
      <c r="C23" t="s">
        <v>158</v>
      </c>
      <c r="D23" t="s">
        <v>201</v>
      </c>
    </row>
    <row r="24" spans="1:11" x14ac:dyDescent="0.35">
      <c r="A24" t="s">
        <v>200</v>
      </c>
      <c r="B24">
        <v>0.74284670099461292</v>
      </c>
      <c r="C24" s="1">
        <v>2.1084452216775921E-5</v>
      </c>
      <c r="D24">
        <v>5</v>
      </c>
    </row>
    <row r="25" spans="1:11" x14ac:dyDescent="0.35">
      <c r="A25" t="s">
        <v>101</v>
      </c>
      <c r="B25">
        <v>0.52254007054941809</v>
      </c>
      <c r="C25" s="1">
        <v>5.4242520495554887E-4</v>
      </c>
      <c r="D25">
        <v>5</v>
      </c>
    </row>
    <row r="26" spans="1:11" x14ac:dyDescent="0.35">
      <c r="A26" t="s">
        <v>198</v>
      </c>
      <c r="B26">
        <v>0.74666121244525252</v>
      </c>
      <c r="C26" s="1">
        <v>2.1540174358524407E-6</v>
      </c>
      <c r="D26">
        <v>9</v>
      </c>
    </row>
    <row r="27" spans="1:11" x14ac:dyDescent="0.35">
      <c r="A27" t="s">
        <v>103</v>
      </c>
      <c r="B27">
        <v>0.73065799674981102</v>
      </c>
      <c r="C27" s="1">
        <v>2.0284756340284919E-16</v>
      </c>
      <c r="D27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3BBAF-A5BE-4FB3-9957-EF9E28CDBDFB}">
  <dimension ref="A1:B56"/>
  <sheetViews>
    <sheetView topLeftCell="A31" workbookViewId="0">
      <selection sqref="A1:B56"/>
    </sheetView>
  </sheetViews>
  <sheetFormatPr defaultRowHeight="14.5" x14ac:dyDescent="0.35"/>
  <sheetData>
    <row r="1" spans="1:2" x14ac:dyDescent="0.35">
      <c r="A1" t="s">
        <v>159</v>
      </c>
      <c r="B1">
        <v>18</v>
      </c>
    </row>
    <row r="2" spans="1:2" x14ac:dyDescent="0.35">
      <c r="A2" t="s">
        <v>1</v>
      </c>
      <c r="B2">
        <v>41</v>
      </c>
    </row>
    <row r="3" spans="1:2" x14ac:dyDescent="0.35">
      <c r="A3" t="s">
        <v>2</v>
      </c>
      <c r="B3">
        <v>52</v>
      </c>
    </row>
    <row r="4" spans="1:2" x14ac:dyDescent="0.35">
      <c r="A4" t="s">
        <v>160</v>
      </c>
      <c r="B4">
        <v>16</v>
      </c>
    </row>
    <row r="5" spans="1:2" x14ac:dyDescent="0.35">
      <c r="A5" t="s">
        <v>3</v>
      </c>
      <c r="B5">
        <v>63</v>
      </c>
    </row>
    <row r="6" spans="1:2" x14ac:dyDescent="0.35">
      <c r="A6" t="s">
        <v>4</v>
      </c>
      <c r="B6">
        <v>49</v>
      </c>
    </row>
    <row r="7" spans="1:2" x14ac:dyDescent="0.35">
      <c r="A7" t="s">
        <v>161</v>
      </c>
      <c r="B7">
        <v>10</v>
      </c>
    </row>
    <row r="8" spans="1:2" x14ac:dyDescent="0.35">
      <c r="A8" t="s">
        <v>162</v>
      </c>
      <c r="B8">
        <v>15</v>
      </c>
    </row>
    <row r="9" spans="1:2" x14ac:dyDescent="0.35">
      <c r="A9" t="s">
        <v>163</v>
      </c>
      <c r="B9">
        <v>17</v>
      </c>
    </row>
    <row r="10" spans="1:2" x14ac:dyDescent="0.35">
      <c r="A10" t="s">
        <v>164</v>
      </c>
      <c r="B10">
        <v>7</v>
      </c>
    </row>
    <row r="11" spans="1:2" x14ac:dyDescent="0.35">
      <c r="A11" t="s">
        <v>165</v>
      </c>
      <c r="B11">
        <v>18</v>
      </c>
    </row>
    <row r="12" spans="1:2" x14ac:dyDescent="0.35">
      <c r="A12" t="s">
        <v>5</v>
      </c>
      <c r="B12">
        <v>32</v>
      </c>
    </row>
    <row r="13" spans="1:2" x14ac:dyDescent="0.35">
      <c r="A13" t="s">
        <v>166</v>
      </c>
      <c r="B13">
        <v>7</v>
      </c>
    </row>
    <row r="14" spans="1:2" x14ac:dyDescent="0.35">
      <c r="A14" t="s">
        <v>167</v>
      </c>
      <c r="B14">
        <v>13</v>
      </c>
    </row>
    <row r="15" spans="1:2" x14ac:dyDescent="0.35">
      <c r="A15" t="s">
        <v>6</v>
      </c>
      <c r="B15">
        <v>80</v>
      </c>
    </row>
    <row r="16" spans="1:2" x14ac:dyDescent="0.35">
      <c r="A16" t="s">
        <v>7</v>
      </c>
      <c r="B16">
        <v>54</v>
      </c>
    </row>
    <row r="17" spans="1:2" x14ac:dyDescent="0.35">
      <c r="A17" t="s">
        <v>109</v>
      </c>
      <c r="B17">
        <v>18</v>
      </c>
    </row>
    <row r="18" spans="1:2" x14ac:dyDescent="0.35">
      <c r="A18" t="s">
        <v>168</v>
      </c>
      <c r="B18">
        <v>6</v>
      </c>
    </row>
    <row r="19" spans="1:2" x14ac:dyDescent="0.35">
      <c r="A19" t="s">
        <v>169</v>
      </c>
      <c r="B19">
        <v>20</v>
      </c>
    </row>
    <row r="20" spans="1:2" x14ac:dyDescent="0.35">
      <c r="A20" t="s">
        <v>170</v>
      </c>
      <c r="B20">
        <v>4</v>
      </c>
    </row>
    <row r="21" spans="1:2" x14ac:dyDescent="0.35">
      <c r="A21" t="s">
        <v>171</v>
      </c>
      <c r="B21">
        <v>9</v>
      </c>
    </row>
    <row r="22" spans="1:2" x14ac:dyDescent="0.35">
      <c r="A22" t="s">
        <v>8</v>
      </c>
      <c r="B22">
        <v>32</v>
      </c>
    </row>
    <row r="23" spans="1:2" x14ac:dyDescent="0.35">
      <c r="A23" t="s">
        <v>9</v>
      </c>
      <c r="B23">
        <v>27</v>
      </c>
    </row>
    <row r="24" spans="1:2" x14ac:dyDescent="0.35">
      <c r="A24" t="s">
        <v>10</v>
      </c>
      <c r="B24">
        <v>30</v>
      </c>
    </row>
    <row r="25" spans="1:2" x14ac:dyDescent="0.35">
      <c r="A25" t="s">
        <v>11</v>
      </c>
      <c r="B25">
        <v>26</v>
      </c>
    </row>
    <row r="26" spans="1:2" x14ac:dyDescent="0.35">
      <c r="A26" t="s">
        <v>12</v>
      </c>
      <c r="B26">
        <v>28</v>
      </c>
    </row>
    <row r="27" spans="1:2" x14ac:dyDescent="0.35">
      <c r="A27" t="s">
        <v>13</v>
      </c>
      <c r="B27">
        <v>55</v>
      </c>
    </row>
    <row r="28" spans="1:2" x14ac:dyDescent="0.35">
      <c r="A28" t="s">
        <v>172</v>
      </c>
      <c r="B28">
        <v>18</v>
      </c>
    </row>
    <row r="29" spans="1:2" x14ac:dyDescent="0.35">
      <c r="A29" t="s">
        <v>14</v>
      </c>
      <c r="B29">
        <v>25</v>
      </c>
    </row>
    <row r="30" spans="1:2" x14ac:dyDescent="0.35">
      <c r="A30" t="s">
        <v>15</v>
      </c>
      <c r="B30">
        <v>25</v>
      </c>
    </row>
    <row r="31" spans="1:2" x14ac:dyDescent="0.35">
      <c r="A31" t="s">
        <v>173</v>
      </c>
      <c r="B31">
        <v>22</v>
      </c>
    </row>
    <row r="32" spans="1:2" x14ac:dyDescent="0.35">
      <c r="A32" t="s">
        <v>16</v>
      </c>
      <c r="B32">
        <v>26</v>
      </c>
    </row>
    <row r="33" spans="1:2" x14ac:dyDescent="0.35">
      <c r="A33" t="s">
        <v>174</v>
      </c>
      <c r="B33">
        <v>14</v>
      </c>
    </row>
    <row r="34" spans="1:2" x14ac:dyDescent="0.35">
      <c r="A34" t="s">
        <v>17</v>
      </c>
      <c r="B34">
        <v>49</v>
      </c>
    </row>
    <row r="35" spans="1:2" x14ac:dyDescent="0.35">
      <c r="A35" t="s">
        <v>18</v>
      </c>
      <c r="B35">
        <v>48</v>
      </c>
    </row>
    <row r="36" spans="1:2" x14ac:dyDescent="0.35">
      <c r="A36" t="s">
        <v>19</v>
      </c>
      <c r="B36">
        <v>26</v>
      </c>
    </row>
    <row r="37" spans="1:2" x14ac:dyDescent="0.35">
      <c r="A37" t="s">
        <v>110</v>
      </c>
      <c r="B37">
        <v>24</v>
      </c>
    </row>
    <row r="38" spans="1:2" x14ac:dyDescent="0.35">
      <c r="A38" t="s">
        <v>175</v>
      </c>
      <c r="B38">
        <v>10</v>
      </c>
    </row>
    <row r="39" spans="1:2" x14ac:dyDescent="0.35">
      <c r="A39" t="s">
        <v>107</v>
      </c>
      <c r="B39">
        <v>18</v>
      </c>
    </row>
    <row r="40" spans="1:2" x14ac:dyDescent="0.35">
      <c r="A40" t="s">
        <v>176</v>
      </c>
      <c r="B40">
        <v>13</v>
      </c>
    </row>
    <row r="41" spans="1:2" x14ac:dyDescent="0.35">
      <c r="A41" t="s">
        <v>48</v>
      </c>
      <c r="B41">
        <v>28</v>
      </c>
    </row>
    <row r="42" spans="1:2" x14ac:dyDescent="0.35">
      <c r="A42" t="s">
        <v>20</v>
      </c>
      <c r="B42">
        <v>25</v>
      </c>
    </row>
    <row r="43" spans="1:2" x14ac:dyDescent="0.35">
      <c r="A43" t="s">
        <v>177</v>
      </c>
      <c r="B43">
        <v>17</v>
      </c>
    </row>
    <row r="44" spans="1:2" x14ac:dyDescent="0.35">
      <c r="A44" t="s">
        <v>178</v>
      </c>
      <c r="B44">
        <v>24</v>
      </c>
    </row>
    <row r="45" spans="1:2" x14ac:dyDescent="0.35">
      <c r="A45" t="s">
        <v>21</v>
      </c>
      <c r="B45">
        <v>91</v>
      </c>
    </row>
    <row r="46" spans="1:2" x14ac:dyDescent="0.35">
      <c r="A46" t="s">
        <v>179</v>
      </c>
      <c r="B46">
        <v>5</v>
      </c>
    </row>
    <row r="47" spans="1:2" x14ac:dyDescent="0.35">
      <c r="A47" t="s">
        <v>108</v>
      </c>
      <c r="B47">
        <v>10</v>
      </c>
    </row>
    <row r="48" spans="1:2" x14ac:dyDescent="0.35">
      <c r="A48" t="s">
        <v>22</v>
      </c>
      <c r="B48">
        <v>54</v>
      </c>
    </row>
    <row r="49" spans="1:2" x14ac:dyDescent="0.35">
      <c r="A49" t="s">
        <v>180</v>
      </c>
      <c r="B49">
        <v>4</v>
      </c>
    </row>
    <row r="50" spans="1:2" x14ac:dyDescent="0.35">
      <c r="A50" t="s">
        <v>23</v>
      </c>
      <c r="B50">
        <v>52</v>
      </c>
    </row>
    <row r="51" spans="1:2" x14ac:dyDescent="0.35">
      <c r="A51" t="s">
        <v>106</v>
      </c>
      <c r="B51">
        <v>24</v>
      </c>
    </row>
    <row r="52" spans="1:2" x14ac:dyDescent="0.35">
      <c r="A52" t="s">
        <v>181</v>
      </c>
      <c r="B52">
        <v>1</v>
      </c>
    </row>
    <row r="53" spans="1:2" x14ac:dyDescent="0.35">
      <c r="A53" t="s">
        <v>24</v>
      </c>
      <c r="B53">
        <v>32</v>
      </c>
    </row>
    <row r="54" spans="1:2" x14ac:dyDescent="0.35">
      <c r="A54" t="s">
        <v>25</v>
      </c>
      <c r="B54">
        <v>40</v>
      </c>
    </row>
    <row r="55" spans="1:2" x14ac:dyDescent="0.35">
      <c r="A55" t="s">
        <v>111</v>
      </c>
      <c r="B55">
        <v>18</v>
      </c>
    </row>
    <row r="56" spans="1:2" x14ac:dyDescent="0.35">
      <c r="A56" t="s">
        <v>182</v>
      </c>
      <c r="B56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chemgen</vt:lpstr>
      <vt:lpstr>dock</vt:lpstr>
      <vt:lpstr>ml</vt:lpstr>
      <vt:lpstr>ml (2)</vt:lpstr>
      <vt:lpstr>met</vt:lpstr>
      <vt:lpstr>trans</vt:lpstr>
      <vt:lpstr>Rall</vt:lpstr>
      <vt:lpstr>all sorted </vt:lpstr>
      <vt:lpstr>top 5 each set</vt:lpstr>
      <vt:lpstr>median_pval</vt:lpstr>
      <vt:lpstr>numInteractions per drug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Margaret Reuter</cp:lastModifiedBy>
  <dcterms:created xsi:type="dcterms:W3CDTF">2025-06-17T15:17:57Z</dcterms:created>
  <dcterms:modified xsi:type="dcterms:W3CDTF">2025-06-24T16:41:40Z</dcterms:modified>
</cp:coreProperties>
</file>